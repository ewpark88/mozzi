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6" activeTab="6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<sst xmlns="http://schemas.openxmlformats.org/spreadsheetml/2006/main" count="251" uniqueCount="219">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</sst>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name val="Arial"/>
      <charset val="1"/>
    </font>
    <font>
      <i/>
      <sz val="11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71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72</v>
      </c>
      <c r="B3" s="3" t="s">
        <v>73</v>
      </c>
      <c r="C3" s="3" t="s">
        <v>74</v>
      </c>
      <c r="D3" s="3" t="s">
        <v>75</v>
      </c>
      <c r="E3" s="3" t="s">
        <v>76</v>
      </c>
      <c r="F3" s="3" t="s">
        <v>77</v>
      </c>
      <c r="G3" s="3" t="s">
        <v>78</v>
      </c>
      <c r="H3" s="3" t="s">
        <v>79</v>
      </c>
      <c r="I3" s="3" t="s">
        <v>80</v>
      </c>
      <c r="J3" s="3" t="s">
        <v>81</v>
      </c>
      <c r="K3" s="3" t="s">
        <v>27</v>
      </c>
      <c r="L3" s="3" t="s">
        <v>82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83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84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90</v>
      </c>
      <c r="G4" s="3" t="s">
        <v>91</v>
      </c>
      <c r="H4" s="3" t="s">
        <v>92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93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94</v>
      </c>
      <c r="Q29" s="23" t="s">
        <v>95</v>
      </c>
      <c r="R29" s="23" t="s">
        <v>96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97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98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99</v>
      </c>
      <c r="B3" s="3" t="s">
        <v>31</v>
      </c>
      <c r="C3" s="3" t="s">
        <v>32</v>
      </c>
      <c r="D3" s="3" t="s">
        <v>100</v>
      </c>
    </row>
    <row r="4" spans="1:4">
      <c r="A4" s="7" t="s">
        <v>101</v>
      </c>
      <c r="B4" s="6">
        <v>10000</v>
      </c>
      <c r="C4" s="5" t="s">
        <v>102</v>
      </c>
      <c r="D4" s="5" t="s">
        <v>103</v>
      </c>
    </row>
    <row r="5" spans="1:4">
      <c r="A5" s="5" t="s">
        <v>104</v>
      </c>
      <c r="B5" s="6">
        <v>3</v>
      </c>
      <c r="C5" s="5" t="s">
        <v>105</v>
      </c>
      <c r="D5" s="5" t="s">
        <v>106</v>
      </c>
    </row>
    <row r="6" spans="1:4">
      <c r="A6" s="5" t="s">
        <v>107</v>
      </c>
      <c r="B6" s="6">
        <v>10</v>
      </c>
      <c r="C6" s="7" t="s">
        <v>108</v>
      </c>
      <c r="D6" s="5" t="s">
        <v>109</v>
      </c>
    </row>
    <row r="7" spans="1:4">
      <c r="A7" s="5" t="s">
        <v>110</v>
      </c>
      <c r="B7" s="6">
        <v>4</v>
      </c>
      <c r="C7" s="5" t="s">
        <v>105</v>
      </c>
      <c r="D7" s="7" t="s">
        <v>111</v>
      </c>
    </row>
    <row r="8" spans="1:4">
      <c r="A8" s="5" t="s">
        <v>112</v>
      </c>
      <c r="B8" s="6">
        <v>6</v>
      </c>
      <c r="C8" s="7" t="s">
        <v>108</v>
      </c>
      <c r="D8" s="5" t="s">
        <v>113</v>
      </c>
    </row>
    <row r="9" spans="1:4">
      <c r="A9" s="5" t="s">
        <v>114</v>
      </c>
      <c r="B9" s="16">
        <v>0.01</v>
      </c>
      <c r="C9" s="7" t="s">
        <v>115</v>
      </c>
      <c r="D9" s="5" t="s">
        <v>113</v>
      </c>
    </row>
    <row r="10" spans="1:4">
      <c r="A10" s="7" t="s">
        <v>116</v>
      </c>
      <c r="B10" s="16">
        <v>0.01</v>
      </c>
      <c r="C10" s="5" t="s">
        <v>117</v>
      </c>
      <c r="D10" s="5" t="s">
        <v>118</v>
      </c>
    </row>
    <row r="11" spans="1:4">
      <c r="A11" s="5" t="s">
        <v>119</v>
      </c>
      <c r="B11" s="6">
        <v>3</v>
      </c>
      <c r="C11" s="7" t="s">
        <v>108</v>
      </c>
      <c r="D11" s="5" t="s">
        <v>120</v>
      </c>
    </row>
    <row r="12" spans="1:4">
      <c r="A12" s="5" t="s">
        <v>121</v>
      </c>
      <c r="B12" s="16">
        <v>0.15</v>
      </c>
      <c r="C12" s="5"/>
      <c r="D12" s="7" t="s">
        <v>122</v>
      </c>
    </row>
    <row r="13" spans="1:4">
      <c r="A13" s="5" t="s">
        <v>123</v>
      </c>
      <c r="B13" s="6">
        <v>1380</v>
      </c>
      <c r="C13" s="7" t="s">
        <v>124</v>
      </c>
      <c r="D13" s="5" t="s">
        <v>125</v>
      </c>
    </row>
    <row r="14" spans="1:4">
      <c r="A14" s="15"/>
      <c r="B14" s="15"/>
      <c r="C14" s="15"/>
      <c r="D14" s="15"/>
    </row>
    <row r="15" spans="1:4">
      <c r="A15" s="3" t="s">
        <v>126</v>
      </c>
      <c r="B15" s="3" t="s">
        <v>127</v>
      </c>
      <c r="C15" s="3" t="s">
        <v>128</v>
      </c>
      <c r="D15" s="3" t="s">
        <v>129</v>
      </c>
    </row>
    <row r="16" spans="1:4">
      <c r="A16" s="5" t="s">
        <v>130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131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132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133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134</v>
      </c>
      <c r="B20" s="19">
        <f>IF(B19&gt;0,(B16+B17)/B19,0)</f>
        <v>0.678274034822104</v>
      </c>
      <c r="C20" s="15"/>
      <c r="D20" s="15"/>
    </row>
    <row r="21" spans="1:4">
      <c r="A21" s="7" t="s">
        <v>135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136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137</v>
      </c>
    </row>
    <row r="3" spans="1:5">
      <c r="A3" s="3" t="s">
        <v>138</v>
      </c>
      <c r="B3" s="3" t="s">
        <v>139</v>
      </c>
      <c r="C3" s="4" t="s">
        <v>140</v>
      </c>
      <c r="D3" s="3" t="s">
        <v>141</v>
      </c>
      <c r="E3" s="3" t="s">
        <v>142</v>
      </c>
    </row>
    <row r="4" spans="1:5">
      <c r="A4" s="5" t="s">
        <v>143</v>
      </c>
      <c r="B4" s="6">
        <v>7</v>
      </c>
      <c r="C4" s="6">
        <v>30</v>
      </c>
      <c r="D4" s="5">
        <f>B4*C4</f>
        <v>210</v>
      </c>
      <c r="E4" s="5" t="s">
        <v>144</v>
      </c>
    </row>
    <row r="5" spans="1:5">
      <c r="A5" s="5" t="s">
        <v>145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146</v>
      </c>
      <c r="B6" s="6">
        <v>1</v>
      </c>
      <c r="C6" s="6">
        <v>100</v>
      </c>
      <c r="D6" s="5">
        <f>B6*C6</f>
        <v>100</v>
      </c>
      <c r="E6" s="7" t="s">
        <v>147</v>
      </c>
    </row>
    <row r="7" spans="1:5">
      <c r="A7" s="5" t="s">
        <v>148</v>
      </c>
      <c r="B7" s="6">
        <v>3</v>
      </c>
      <c r="C7" s="6">
        <v>20</v>
      </c>
      <c r="D7" s="5">
        <f>B7*C7</f>
        <v>60</v>
      </c>
      <c r="E7" s="5" t="s">
        <v>149</v>
      </c>
    </row>
    <row r="8" spans="1:5">
      <c r="A8" s="5" t="s">
        <v>150</v>
      </c>
      <c r="B8" s="6">
        <v>5</v>
      </c>
      <c r="C8" s="6">
        <v>5</v>
      </c>
      <c r="D8" s="5">
        <f>B8*C8</f>
        <v>25</v>
      </c>
      <c r="E8" s="5" t="s">
        <v>151</v>
      </c>
    </row>
    <row r="9" spans="1:5">
      <c r="A9" s="12" t="s">
        <v>152</v>
      </c>
      <c r="D9" s="12">
        <f>SUM(D4:D8)</f>
        <v>535</v>
      </c>
    </row>
    <row r="11" spans="1:5">
      <c r="A11" s="3" t="s">
        <v>153</v>
      </c>
      <c r="B11" s="3" t="s">
        <v>154</v>
      </c>
      <c r="C11" s="3"/>
      <c r="D11" s="3" t="s">
        <v>155</v>
      </c>
      <c r="E11" s="3" t="s">
        <v>142</v>
      </c>
    </row>
    <row r="12" spans="1:5">
      <c r="A12" s="5" t="s">
        <v>156</v>
      </c>
      <c r="B12" s="6">
        <v>100</v>
      </c>
      <c r="D12" s="5">
        <f>ROUND($D$9/B12,1)</f>
        <v>5.4</v>
      </c>
      <c r="E12" s="5" t="s">
        <v>157</v>
      </c>
    </row>
    <row r="13" spans="1:5">
      <c r="A13" s="5" t="s">
        <v>158</v>
      </c>
      <c r="B13" s="6">
        <v>300</v>
      </c>
      <c r="D13" s="5">
        <f>ROUND($D$9/B13,1)</f>
        <v>1.8</v>
      </c>
      <c r="E13" s="5"/>
    </row>
    <row r="14" spans="1:5">
      <c r="A14" s="5" t="s">
        <v>159</v>
      </c>
      <c r="B14" s="6">
        <v>20</v>
      </c>
      <c r="D14" s="5">
        <f>ROUND($D$9/B14,1)</f>
        <v>26.8</v>
      </c>
      <c r="E14" s="5"/>
    </row>
    <row r="15" spans="1:5">
      <c r="A15" s="5" t="s">
        <v>160</v>
      </c>
      <c r="B15" s="6">
        <v>150</v>
      </c>
      <c r="D15" s="5">
        <f>ROUND($D$9/B15,1)</f>
        <v>3.6</v>
      </c>
      <c r="E15" s="5"/>
    </row>
    <row r="17" ht="28.2" spans="1:5">
      <c r="A17" s="3" t="s">
        <v>161</v>
      </c>
      <c r="B17" s="3" t="s">
        <v>162</v>
      </c>
      <c r="C17" s="3" t="s">
        <v>163</v>
      </c>
      <c r="D17" s="3" t="s">
        <v>164</v>
      </c>
      <c r="E17" s="3" t="s">
        <v>165</v>
      </c>
    </row>
    <row r="18" spans="1:5">
      <c r="A18" s="5" t="s">
        <v>166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167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168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169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170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171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172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173</v>
      </c>
    </row>
    <row r="2" spans="1:8">
      <c r="A2" s="2" t="s">
        <v>174</v>
      </c>
    </row>
    <row r="4" ht="28.2" spans="1:8">
      <c r="A4" s="3" t="s">
        <v>175</v>
      </c>
      <c r="B4" s="3" t="s">
        <v>31</v>
      </c>
      <c r="C4" s="4" t="s">
        <v>3</v>
      </c>
    </row>
    <row r="5" spans="1:8">
      <c r="A5" s="5" t="s">
        <v>176</v>
      </c>
      <c r="B5" s="6">
        <v>0.2</v>
      </c>
      <c r="C5" s="7" t="s">
        <v>177</v>
      </c>
    </row>
    <row r="6" spans="1:8">
      <c r="A6" s="5" t="s">
        <v>178</v>
      </c>
      <c r="B6" s="6">
        <v>0.15</v>
      </c>
      <c r="C6" s="7" t="s">
        <v>179</v>
      </c>
    </row>
    <row r="7" spans="1:8">
      <c r="A7" s="5" t="s">
        <v>180</v>
      </c>
      <c r="B7" s="6">
        <v>0.1</v>
      </c>
      <c r="C7" s="7" t="s">
        <v>181</v>
      </c>
    </row>
    <row r="8" spans="1:8">
      <c r="A8" s="5" t="s">
        <v>182</v>
      </c>
      <c r="B8" s="6">
        <v>8</v>
      </c>
      <c r="C8" s="7" t="s">
        <v>183</v>
      </c>
    </row>
    <row r="9" spans="1:8">
      <c r="A9" s="5" t="s">
        <v>184</v>
      </c>
      <c r="B9" s="6">
        <v>2</v>
      </c>
      <c r="C9" s="7" t="s">
        <v>185</v>
      </c>
    </row>
    <row r="11" ht="28.8" spans="1:8">
      <c r="A11" s="3" t="s">
        <v>186</v>
      </c>
      <c r="B11" s="3" t="s">
        <v>187</v>
      </c>
      <c r="C11" s="3" t="s">
        <v>188</v>
      </c>
      <c r="D11" s="3" t="s">
        <v>189</v>
      </c>
      <c r="E11" s="3" t="s">
        <v>190</v>
      </c>
      <c r="F11" s="4" t="s">
        <v>191</v>
      </c>
      <c r="G11" s="3" t="s">
        <v>192</v>
      </c>
      <c r="H11" s="3" t="s">
        <v>193</v>
      </c>
    </row>
    <row r="12" spans="1:8">
      <c r="A12" s="5" t="s">
        <v>194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195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196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197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198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199</v>
      </c>
    </row>
    <row r="19" spans="1:1">
      <c r="A19" s="11" t="s">
        <v>200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tabSelected="1" workbookViewId="0">
      <selection activeCell="A1" sqref="A1"/>
    </sheetView>
  </sheetViews>
  <sheetFormatPr defaultColWidth="8.88888888888889" defaultRowHeight="14.4" outlineLevelCol="7"/>
  <sheetData>
    <row r="1" spans="1:8">
      <c r="A1" t="s">
        <v>201</v>
      </c>
    </row>
    <row r="2" spans="1:8">
      <c r="A2" t="s">
        <v>202</v>
      </c>
    </row>
    <row r="4" spans="1:8">
      <c r="A4" t="s">
        <v>203</v>
      </c>
      <c r="B4" t="s">
        <v>204</v>
      </c>
      <c r="C4" t="s">
        <v>205</v>
      </c>
      <c r="D4" t="s">
        <v>206</v>
      </c>
      <c r="E4" t="s">
        <v>207</v>
      </c>
      <c r="F4" t="s">
        <v>208</v>
      </c>
      <c r="G4" t="s">
        <v>209</v>
      </c>
      <c r="H4" t="s">
        <v>210</v>
      </c>
    </row>
    <row r="5" spans="1:8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</row>
    <row r="6" spans="1:8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</row>
    <row r="7" spans="1:8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</row>
    <row r="8" spans="1:8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</row>
    <row r="9" spans="1:8">
      <c r="A9">
        <v>1</v>
      </c>
      <c r="B9">
        <v>5</v>
      </c>
      <c r="C9">
        <v>500</v>
      </c>
      <c r="D9" t="s">
        <v>206</v>
      </c>
      <c r="E9">
        <v>13</v>
      </c>
      <c r="F9">
        <v>3</v>
      </c>
      <c r="G9">
        <v>9</v>
      </c>
      <c r="H9">
        <v>2</v>
      </c>
    </row>
    <row r="10" spans="1:8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</row>
    <row r="11" spans="1:8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</row>
    <row r="12" spans="1:8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</row>
    <row r="13" spans="1:8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</row>
    <row r="14" spans="1:8">
      <c r="A14">
        <v>2</v>
      </c>
      <c r="B14">
        <v>5</v>
      </c>
      <c r="C14">
        <v>2000</v>
      </c>
      <c r="D14" t="s">
        <v>206</v>
      </c>
      <c r="E14">
        <v>20</v>
      </c>
      <c r="F14">
        <v>2</v>
      </c>
      <c r="G14">
        <v>13</v>
      </c>
      <c r="H14">
        <v>1</v>
      </c>
    </row>
    <row r="15" spans="1:8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</row>
    <row r="16" spans="1:8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</row>
    <row r="17" spans="1:8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</row>
    <row r="18" spans="1:8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</row>
    <row r="19" spans="1:8">
      <c r="A19">
        <v>3</v>
      </c>
      <c r="B19">
        <v>5</v>
      </c>
      <c r="C19">
        <v>6000</v>
      </c>
      <c r="D19" t="s">
        <v>206</v>
      </c>
      <c r="E19">
        <v>29</v>
      </c>
      <c r="F19">
        <v>2</v>
      </c>
      <c r="G19">
        <v>17</v>
      </c>
      <c r="H19">
        <v>1</v>
      </c>
    </row>
    <row r="20" spans="1:8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</row>
    <row r="21" spans="1:8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</row>
    <row r="22" spans="1:8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</row>
    <row r="23" spans="1:8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</row>
    <row r="24" spans="1:8">
      <c r="A24">
        <v>4</v>
      </c>
      <c r="B24">
        <v>5</v>
      </c>
      <c r="C24">
        <v>15000</v>
      </c>
      <c r="D24" t="s">
        <v>206</v>
      </c>
      <c r="E24">
        <v>45</v>
      </c>
      <c r="F24">
        <v>5</v>
      </c>
      <c r="G24">
        <v>26</v>
      </c>
      <c r="H24">
        <v>3</v>
      </c>
    </row>
    <row r="25" spans="1:8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</row>
    <row r="26" spans="1:8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</row>
    <row r="27" spans="1:8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</row>
    <row r="28" spans="1:8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</row>
    <row r="29" spans="1:8">
      <c r="A29">
        <v>5</v>
      </c>
      <c r="B29">
        <v>5</v>
      </c>
      <c r="C29">
        <v>40000</v>
      </c>
      <c r="D29" t="s">
        <v>206</v>
      </c>
      <c r="E29">
        <v>113</v>
      </c>
      <c r="F29">
        <v>23</v>
      </c>
      <c r="G29">
        <v>60</v>
      </c>
      <c r="H29">
        <v>12</v>
      </c>
    </row>
    <row r="32" spans="1:8">
      <c r="A32" t="s">
        <v>211</v>
      </c>
      <c r="B32" t="s">
        <v>212</v>
      </c>
      <c r="C32">
        <v>1.3</v>
      </c>
      <c r="D32" t="s">
        <v>213</v>
      </c>
    </row>
    <row r="34" spans="1:4">
      <c r="A34" t="s">
        <v>214</v>
      </c>
      <c r="B34" t="s">
        <v>215</v>
      </c>
      <c r="C34" t="s">
        <v>216</v>
      </c>
      <c r="D34" t="s">
        <v>217</v>
      </c>
    </row>
    <row r="35" spans="1:4">
      <c r="A35">
        <v>2</v>
      </c>
      <c r="B35" t="s">
        <v>218</v>
      </c>
      <c r="C35">
        <v>8</v>
      </c>
    </row>
    <row r="36" spans="1:4">
      <c r="A36">
        <v>3</v>
      </c>
      <c r="B36" t="s">
        <v>218</v>
      </c>
      <c r="C36">
        <v>20</v>
      </c>
    </row>
    <row r="37" spans="1:4">
      <c r="A37">
        <v>4</v>
      </c>
      <c r="B37" t="s">
        <v>218</v>
      </c>
      <c r="C37">
        <v>32</v>
      </c>
    </row>
    <row r="38" spans="1:4">
      <c r="A38">
        <v>5</v>
      </c>
      <c r="B38" t="s">
        <v>218</v>
      </c>
      <c r="C38">
        <v>45</v>
      </c>
    </row>
    <row r="39" spans="1:4">
      <c r="A39">
        <v>6</v>
      </c>
      <c r="B39" t="s">
        <v>218</v>
      </c>
      <c r="C39">
        <v>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2026-09-28T07:32:35Z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
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16384" windowHeight="8192" tabRatio="500" firstSheet="6" activeTab="6"/>
  </bookViews>
  <sheets>
    <sheet name="설정" sheetId="1" r:id="rId1"/>
    <sheet name="업그레이드표" sheetId="2" r:id="rId2"/>
    <sheet name="진행 시뮬" sheetId="3" r:id="rId3"/>
    <sheet name="수익 추정" sheetId="4" r:id="rId4"/>
    <sheet name="별사탕 경제" sheetId="5" r:id="rId5"/>
    <sheet name="햄스터 마을" sheetId="6" r:id="rId6"/>
    <sheet name="스테이지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<sst xmlns="http://schemas.openxmlformats.org/spreadsheetml/2006/main" count="393" uniqueCount="326">
  <si>
    <t>모찌 런처 — 밸런스 설정값</t>
  </si>
  <si>
    <r>
      <rPr>
        <i/>
        <sz val="11"/>
        <color rgb="FF666666"/>
        <rFont val="Noto Sans CJK SC"/>
        <charset val="134"/>
      </rPr>
      <t>파란 글씨</t>
    </r>
    <r>
      <rPr>
        <i/>
        <sz val="11"/>
        <color rgb="FF666666"/>
        <rFont val="Arial"/>
        <charset val="1"/>
      </rPr>
      <t>·</t>
    </r>
    <r>
      <rPr>
        <i/>
        <sz val="11"/>
        <color rgb="FF666666"/>
        <rFont val="Noto Sans CJK SC"/>
        <charset val="134"/>
      </rPr>
      <t xml:space="preserve">노란 칸 </t>
    </r>
    <r>
      <rPr>
        <i/>
        <sz val="11"/>
        <color rgb="FF666666"/>
        <rFont val="Arial"/>
        <charset val="1"/>
      </rPr>
      <t xml:space="preserve">= </t>
    </r>
    <r>
      <rPr>
        <i/>
        <sz val="11"/>
        <color rgb="FF666666"/>
        <rFont val="Noto Sans CJK SC"/>
        <charset val="134"/>
      </rPr>
      <t>수정 가능한 입력값</t>
    </r>
    <r>
      <rPr>
        <i/>
        <sz val="11"/>
        <color rgb="FF666666"/>
        <rFont val="Arial"/>
        <charset val="1"/>
      </rPr>
      <t xml:space="preserve">. Firebase Remote Config </t>
    </r>
    <r>
      <rPr>
        <i/>
        <sz val="11"/>
        <color rgb="FF666666"/>
        <rFont val="Noto Sans CJK SC"/>
        <charset val="134"/>
      </rPr>
      <t xml:space="preserve">키와 </t>
    </r>
    <r>
      <rPr>
        <i/>
        <sz val="11"/>
        <color rgb="FF666666"/>
        <rFont val="Arial"/>
        <charset val="1"/>
      </rPr>
      <t>1:1</t>
    </r>
    <r>
      <rPr>
        <i/>
        <sz val="11"/>
        <color rgb="FF666666"/>
        <rFont val="Noto Sans CJK SC"/>
        <charset val="134"/>
      </rPr>
      <t>로 맞춰 두면 앱 업데이트 없이 튜닝 가능</t>
    </r>
    <r>
      <rPr>
        <i/>
        <sz val="11"/>
        <color rgb="FF666666"/>
        <rFont val="Arial"/>
        <charset val="1"/>
      </rPr>
      <t>.</t>
    </r>
  </si>
  <si>
    <t>업그레이드</t>
  </si>
  <si>
    <r>
      <rPr>
        <b/>
        <sz val="11"/>
        <color rgb="FFFFFFFF"/>
        <rFont val="Arial"/>
        <charset val="1"/>
      </rPr>
      <t xml:space="preserve">Remote Config </t>
    </r>
    <r>
      <rPr>
        <b/>
        <sz val="11"/>
        <color rgb="FFFFFFFF"/>
        <rFont val="Noto Sans CJK SC"/>
        <charset val="134"/>
      </rPr>
      <t>키</t>
    </r>
  </si>
  <si>
    <r>
      <rPr>
        <b/>
        <sz val="11"/>
        <color rgb="FFFFFFFF"/>
        <rFont val="Noto Sans CJK SC"/>
        <charset val="134"/>
      </rPr>
      <t>기본 비용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charset val="134"/>
      </rPr>
      <t>씨앗</t>
    </r>
    <r>
      <rPr>
        <b/>
        <sz val="11"/>
        <color rgb="FFFFFFFF"/>
        <rFont val="Arial"/>
        <charset val="1"/>
      </rPr>
      <t>)</t>
    </r>
  </si>
  <si>
    <t>비용 증가율</t>
  </si>
  <si>
    <r>
      <rPr>
        <b/>
        <sz val="11"/>
        <color rgb="FFFFFFFF"/>
        <rFont val="Arial"/>
        <charset val="1"/>
      </rPr>
      <t>Lv</t>
    </r>
    <r>
      <rPr>
        <b/>
        <sz val="11"/>
        <color rgb="FFFFFFFF"/>
        <rFont val="Noto Sans CJK SC"/>
        <charset val="134"/>
      </rPr>
      <t>당 효과</t>
    </r>
  </si>
  <si>
    <t>효과 단위</t>
  </si>
  <si>
    <t>설명</t>
  </si>
  <si>
    <t>고무줄</t>
  </si>
  <si>
    <t>upg_launch</t>
  </si>
  <si>
    <r>
      <rPr>
        <sz val="11"/>
        <rFont val="Arial"/>
        <charset val="1"/>
      </rPr>
      <t xml:space="preserve">m/s </t>
    </r>
    <r>
      <rPr>
        <sz val="11"/>
        <rFont val="Noto Sans CJK SC"/>
        <charset val="134"/>
      </rPr>
      <t>초기속도</t>
    </r>
  </si>
  <si>
    <r>
      <rPr>
        <sz val="11"/>
        <rFont val="Noto Sans CJK SC"/>
        <charset val="134"/>
      </rPr>
      <t>초기 발사 속도</t>
    </r>
    <r>
      <rPr>
        <sz val="11"/>
        <rFont val="Arial"/>
        <charset val="1"/>
      </rPr>
      <t xml:space="preserve">. </t>
    </r>
    <r>
      <rPr>
        <sz val="11"/>
        <rFont val="Noto Sans CJK SC"/>
        <charset val="134"/>
      </rPr>
      <t xml:space="preserve">기본 </t>
    </r>
    <r>
      <rPr>
        <sz val="11"/>
        <rFont val="Arial"/>
        <charset val="1"/>
      </rPr>
      <t>15 m/s</t>
    </r>
  </si>
  <si>
    <t>공기역학</t>
  </si>
  <si>
    <t>upg_aero</t>
  </si>
  <si>
    <t>비행거리 배율</t>
  </si>
  <si>
    <r>
      <rPr>
        <sz val="11"/>
        <rFont val="Arial"/>
        <charset val="1"/>
      </rPr>
      <t>Lv</t>
    </r>
    <r>
      <rPr>
        <sz val="11"/>
        <rFont val="Noto Sans CJK SC"/>
        <charset val="134"/>
      </rPr>
      <t xml:space="preserve">당 </t>
    </r>
    <r>
      <rPr>
        <sz val="11"/>
        <rFont val="Arial"/>
        <charset val="1"/>
      </rPr>
      <t xml:space="preserve">+6% </t>
    </r>
    <r>
      <rPr>
        <sz val="11"/>
        <rFont val="Noto Sans CJK SC"/>
        <charset val="134"/>
      </rPr>
      <t>비행거리</t>
    </r>
  </si>
  <si>
    <t>부스터</t>
  </si>
  <si>
    <t>upg_boost</t>
  </si>
  <si>
    <t>지수</t>
  </si>
  <si>
    <r>
      <rPr>
        <sz val="11"/>
        <rFont val="Noto Sans CJK SC"/>
        <charset val="134"/>
      </rPr>
      <t xml:space="preserve">추가 거리 </t>
    </r>
    <r>
      <rPr>
        <sz val="11"/>
        <rFont val="Arial"/>
        <charset val="1"/>
      </rPr>
      <t>= 20 × Lv^</t>
    </r>
    <r>
      <rPr>
        <sz val="11"/>
        <rFont val="Noto Sans CJK SC"/>
        <charset val="134"/>
      </rPr>
      <t xml:space="preserve">지수 </t>
    </r>
    <r>
      <rPr>
        <sz val="11"/>
        <rFont val="Arial"/>
        <charset val="1"/>
      </rPr>
      <t>(m)</t>
    </r>
  </si>
  <si>
    <t>바운스</t>
  </si>
  <si>
    <t>upg_bounce</t>
  </si>
  <si>
    <t>거리 배율</t>
  </si>
  <si>
    <r>
      <rPr>
        <sz val="11"/>
        <rFont val="Arial"/>
        <charset val="1"/>
      </rPr>
      <t>Lv</t>
    </r>
    <r>
      <rPr>
        <sz val="11"/>
        <rFont val="Noto Sans CJK SC"/>
        <charset val="134"/>
      </rPr>
      <t xml:space="preserve">당 </t>
    </r>
    <r>
      <rPr>
        <sz val="11"/>
        <rFont val="Arial"/>
        <charset val="1"/>
      </rPr>
      <t>+4% (</t>
    </r>
    <r>
      <rPr>
        <sz val="11"/>
        <rFont val="Noto Sans CJK SC"/>
        <charset val="134"/>
      </rPr>
      <t>튕김 횟수 증가 환산</t>
    </r>
    <r>
      <rPr>
        <sz val="11"/>
        <rFont val="Arial"/>
        <charset val="1"/>
      </rPr>
      <t>)</t>
    </r>
  </si>
  <si>
    <t>볼주머니</t>
  </si>
  <si>
    <t>upg_coin</t>
  </si>
  <si>
    <t>씨앗 배율</t>
  </si>
  <si>
    <r>
      <rPr>
        <sz val="11"/>
        <rFont val="Arial"/>
        <charset val="1"/>
      </rPr>
      <t>Lv</t>
    </r>
    <r>
      <rPr>
        <sz val="11"/>
        <rFont val="Noto Sans CJK SC"/>
        <charset val="134"/>
      </rPr>
      <t xml:space="preserve">당 씨앗 획득 </t>
    </r>
    <r>
      <rPr>
        <sz val="11"/>
        <rFont val="Arial"/>
        <charset val="1"/>
      </rPr>
      <t>+10%</t>
    </r>
  </si>
  <si>
    <r>
      <rPr>
        <b/>
        <sz val="11"/>
        <color rgb="FFFFFFFF"/>
        <rFont val="Noto Sans CJK SC"/>
        <charset val="134"/>
      </rPr>
      <t>물리</t>
    </r>
    <r>
      <rPr>
        <b/>
        <sz val="11"/>
        <color rgb="FFFFFFFF"/>
        <rFont val="Arial"/>
        <charset val="1"/>
      </rPr>
      <t>·</t>
    </r>
    <r>
      <rPr>
        <b/>
        <sz val="11"/>
        <color rgb="FFFFFFFF"/>
        <rFont val="Noto Sans CJK SC"/>
        <charset val="134"/>
      </rPr>
      <t>보상 상수</t>
    </r>
  </si>
  <si>
    <t>키</t>
  </si>
  <si>
    <t>값</t>
  </si>
  <si>
    <t>단위</t>
  </si>
  <si>
    <t>기본 발사 속도</t>
  </si>
  <si>
    <t>phys_v0</t>
  </si>
  <si>
    <t>m/s</t>
  </si>
  <si>
    <r>
      <rPr>
        <sz val="11"/>
        <rFont val="Noto Sans CJK SC"/>
        <charset val="134"/>
      </rPr>
      <t xml:space="preserve">고무줄 </t>
    </r>
    <r>
      <rPr>
        <sz val="11"/>
        <rFont val="Arial"/>
        <charset val="1"/>
      </rPr>
      <t xml:space="preserve">Lv0 </t>
    </r>
    <r>
      <rPr>
        <sz val="11"/>
        <rFont val="Noto Sans CJK SC"/>
        <charset val="134"/>
      </rPr>
      <t>속도</t>
    </r>
  </si>
  <si>
    <t>중력</t>
  </si>
  <si>
    <t>phys_g</t>
  </si>
  <si>
    <t>m/s²</t>
  </si>
  <si>
    <r>
      <rPr>
        <sz val="11"/>
        <rFont val="Noto Sans CJK SC"/>
        <charset val="134"/>
      </rPr>
      <t xml:space="preserve">거리 </t>
    </r>
    <r>
      <rPr>
        <sz val="11"/>
        <rFont val="Arial"/>
        <charset val="1"/>
      </rPr>
      <t xml:space="preserve">= v²/g </t>
    </r>
    <r>
      <rPr>
        <sz val="11"/>
        <rFont val="Noto Sans CJK SC"/>
        <charset val="134"/>
      </rPr>
      <t>근사</t>
    </r>
  </si>
  <si>
    <t>부스터 계수</t>
  </si>
  <si>
    <t>phys_boost_k</t>
  </si>
  <si>
    <t>m</t>
  </si>
  <si>
    <t>부스터 거리 계수</t>
  </si>
  <si>
    <r>
      <rPr>
        <sz val="11"/>
        <rFont val="Arial"/>
        <charset val="1"/>
      </rPr>
      <t>m</t>
    </r>
    <r>
      <rPr>
        <sz val="11"/>
        <rFont val="Noto Sans CJK SC"/>
        <charset val="134"/>
      </rPr>
      <t>당 씨앗</t>
    </r>
  </si>
  <si>
    <t>coin_per_m</t>
  </si>
  <si>
    <r>
      <rPr>
        <sz val="11"/>
        <rFont val="Noto Sans CJK SC"/>
        <charset val="134"/>
      </rPr>
      <t>씨앗</t>
    </r>
    <r>
      <rPr>
        <sz val="11"/>
        <rFont val="Arial"/>
        <charset val="1"/>
      </rPr>
      <t>/m</t>
    </r>
  </si>
  <si>
    <r>
      <rPr>
        <sz val="11"/>
        <rFont val="Noto Sans CJK SC"/>
        <charset val="134"/>
      </rPr>
      <t>시뮬 기준 최적값</t>
    </r>
    <r>
      <rPr>
        <sz val="11"/>
        <rFont val="Arial"/>
        <charset val="1"/>
      </rPr>
      <t>(0.3=</t>
    </r>
    <r>
      <rPr>
        <sz val="11"/>
        <rFont val="Noto Sans CJK SC"/>
        <charset val="134"/>
      </rPr>
      <t>느림</t>
    </r>
    <r>
      <rPr>
        <sz val="11"/>
        <rFont val="Arial"/>
        <charset val="1"/>
      </rPr>
      <t>, 1.0=</t>
    </r>
    <r>
      <rPr>
        <sz val="11"/>
        <rFont val="Noto Sans CJK SC"/>
        <charset val="134"/>
      </rPr>
      <t>너무 빠름</t>
    </r>
    <r>
      <rPr>
        <sz val="11"/>
        <rFont val="Arial"/>
        <charset val="1"/>
      </rPr>
      <t>)</t>
    </r>
  </si>
  <si>
    <r>
      <rPr>
        <sz val="11"/>
        <rFont val="Arial"/>
        <charset val="1"/>
      </rPr>
      <t>1</t>
    </r>
    <r>
      <rPr>
        <sz val="11"/>
        <rFont val="Noto Sans CJK SC"/>
        <charset val="134"/>
      </rPr>
      <t>판 평균 시간</t>
    </r>
  </si>
  <si>
    <t>run_sec</t>
  </si>
  <si>
    <t>초</t>
  </si>
  <si>
    <r>
      <rPr>
        <sz val="11"/>
        <rFont val="Noto Sans CJK SC"/>
        <charset val="134"/>
      </rPr>
      <t>당기기</t>
    </r>
    <r>
      <rPr>
        <sz val="11"/>
        <rFont val="Arial"/>
        <charset val="1"/>
      </rPr>
      <t>~</t>
    </r>
    <r>
      <rPr>
        <sz val="11"/>
        <rFont val="Noto Sans CJK SC"/>
        <charset val="134"/>
      </rPr>
      <t>결과화면</t>
    </r>
  </si>
  <si>
    <t>구역</t>
  </si>
  <si>
    <r>
      <rPr>
        <b/>
        <sz val="11"/>
        <color rgb="FFFFFFFF"/>
        <rFont val="Noto Sans CJK SC"/>
        <charset val="134"/>
      </rPr>
      <t>시작 거리</t>
    </r>
    <r>
      <rPr>
        <b/>
        <sz val="11"/>
        <color rgb="FFFFFFFF"/>
        <rFont val="Arial"/>
        <charset val="1"/>
      </rPr>
      <t>(m)</t>
    </r>
  </si>
  <si>
    <r>
      <rPr>
        <b/>
        <sz val="11"/>
        <color rgb="FFFFFFFF"/>
        <rFont val="Noto Sans CJK SC"/>
        <charset val="134"/>
      </rPr>
      <t>목표 도달 판수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charset val="134"/>
      </rPr>
      <t>광고</t>
    </r>
    <r>
      <rPr>
        <b/>
        <sz val="11"/>
        <color rgb="FFFFFFFF"/>
        <rFont val="Arial"/>
        <charset val="1"/>
      </rPr>
      <t>X)</t>
    </r>
  </si>
  <si>
    <r>
      <rPr>
        <b/>
        <sz val="11"/>
        <color rgb="FFFFFFFF"/>
        <rFont val="Noto Sans CJK SC"/>
        <charset val="134"/>
      </rPr>
      <t>목표 도달 시간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charset val="134"/>
      </rPr>
      <t>분</t>
    </r>
    <r>
      <rPr>
        <b/>
        <sz val="11"/>
        <color rgb="FFFFFFFF"/>
        <rFont val="Arial"/>
        <charset val="1"/>
      </rPr>
      <t>)</t>
    </r>
  </si>
  <si>
    <t>설계 의도</t>
  </si>
  <si>
    <r>
      <rPr>
        <sz val="11"/>
        <rFont val="Arial"/>
        <charset val="1"/>
      </rPr>
      <t xml:space="preserve">1. </t>
    </r>
    <r>
      <rPr>
        <sz val="11"/>
        <rFont val="Noto Sans CJK SC"/>
        <charset val="134"/>
      </rPr>
      <t>뒷마당</t>
    </r>
  </si>
  <si>
    <t>튜토리얼</t>
  </si>
  <si>
    <r>
      <rPr>
        <sz val="11"/>
        <rFont val="Arial"/>
        <charset val="1"/>
      </rPr>
      <t xml:space="preserve">2. </t>
    </r>
    <r>
      <rPr>
        <sz val="11"/>
        <rFont val="Noto Sans CJK SC"/>
        <charset val="134"/>
      </rPr>
      <t>공원</t>
    </r>
  </si>
  <si>
    <r>
      <rPr>
        <sz val="11"/>
        <rFont val="Noto Sans CJK SC"/>
        <charset val="134"/>
      </rPr>
      <t xml:space="preserve">첫 </t>
    </r>
    <r>
      <rPr>
        <sz val="11"/>
        <rFont val="Arial"/>
        <charset val="1"/>
      </rPr>
      <t>10</t>
    </r>
    <r>
      <rPr>
        <sz val="11"/>
        <rFont val="Noto Sans CJK SC"/>
        <charset val="134"/>
      </rPr>
      <t>분 안에 첫 구역 돌파 → 몰입</t>
    </r>
  </si>
  <si>
    <r>
      <rPr>
        <sz val="11"/>
        <rFont val="Arial"/>
        <charset val="1"/>
      </rPr>
      <t xml:space="preserve">3. </t>
    </r>
    <r>
      <rPr>
        <sz val="11"/>
        <rFont val="Noto Sans CJK SC"/>
        <charset val="134"/>
      </rPr>
      <t>도시 옥상</t>
    </r>
  </si>
  <si>
    <t>신규 장애물 등장</t>
  </si>
  <si>
    <r>
      <rPr>
        <sz val="11"/>
        <rFont val="Arial"/>
        <charset val="1"/>
      </rPr>
      <t xml:space="preserve">4. </t>
    </r>
    <r>
      <rPr>
        <sz val="11"/>
        <rFont val="Noto Sans CJK SC"/>
        <charset val="134"/>
      </rPr>
      <t>구름 위</t>
    </r>
  </si>
  <si>
    <t>카피바라 해금 — 중반 보상</t>
  </si>
  <si>
    <r>
      <rPr>
        <sz val="11"/>
        <rFont val="Arial"/>
        <charset val="1"/>
      </rPr>
      <t xml:space="preserve">5. </t>
    </r>
    <r>
      <rPr>
        <sz val="11"/>
        <rFont val="Noto Sans CJK SC"/>
        <charset val="134"/>
      </rPr>
      <t>우주</t>
    </r>
  </si>
  <si>
    <r>
      <rPr>
        <sz val="11"/>
        <rFont val="Noto Sans CJK SC"/>
        <charset val="134"/>
      </rPr>
      <t xml:space="preserve">성장 둔화 구간 </t>
    </r>
    <r>
      <rPr>
        <sz val="11"/>
        <rFont val="Arial"/>
        <charset val="1"/>
      </rPr>
      <t xml:space="preserve">= </t>
    </r>
    <r>
      <rPr>
        <sz val="11"/>
        <rFont val="Noto Sans CJK SC"/>
        <charset val="134"/>
      </rPr>
      <t xml:space="preserve">광고 </t>
    </r>
    <r>
      <rPr>
        <sz val="11"/>
        <rFont val="Arial"/>
        <charset val="1"/>
      </rPr>
      <t>2</t>
    </r>
    <r>
      <rPr>
        <sz val="11"/>
        <rFont val="Noto Sans CJK SC"/>
        <charset val="134"/>
      </rPr>
      <t>배</t>
    </r>
    <r>
      <rPr>
        <sz val="11"/>
        <rFont val="Arial"/>
        <charset val="1"/>
      </rPr>
      <t>·</t>
    </r>
    <r>
      <rPr>
        <sz val="11"/>
        <rFont val="Noto Sans CJK SC"/>
        <charset val="134"/>
      </rPr>
      <t>스타터팩 가치 극대화</t>
    </r>
  </si>
  <si>
    <r>
      <rPr>
        <sz val="11"/>
        <rFont val="Arial"/>
        <charset val="1"/>
      </rPr>
      <t xml:space="preserve">6. </t>
    </r>
    <r>
      <rPr>
        <sz val="11"/>
        <rFont val="Noto Sans CJK SC"/>
        <charset val="134"/>
      </rPr>
      <t>달</t>
    </r>
  </si>
  <si>
    <r>
      <rPr>
        <sz val="11"/>
        <rFont val="Noto Sans CJK SC"/>
        <charset val="134"/>
      </rPr>
      <t xml:space="preserve">프레스티지 해금 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 xml:space="preserve">하루 </t>
    </r>
    <r>
      <rPr>
        <sz val="11"/>
        <rFont val="Arial"/>
        <charset val="1"/>
      </rPr>
      <t>20~30</t>
    </r>
    <r>
      <rPr>
        <sz val="11"/>
        <rFont val="Noto Sans CJK SC"/>
        <charset val="134"/>
      </rPr>
      <t xml:space="preserve">분 플레이 시 </t>
    </r>
    <r>
      <rPr>
        <sz val="11"/>
        <rFont val="Arial"/>
        <charset val="1"/>
      </rPr>
      <t>3~5</t>
    </r>
    <r>
      <rPr>
        <sz val="11"/>
        <rFont val="Noto Sans CJK SC"/>
        <charset val="134"/>
      </rPr>
      <t>일차</t>
    </r>
    <r>
      <rPr>
        <sz val="11"/>
        <rFont val="Arial"/>
        <charset val="1"/>
      </rPr>
      <t>)</t>
    </r>
  </si>
  <si>
    <t>※ 목표 도달 판수는 tool/balance/pacing_sim.py 시뮬레이션(탐욕적 구매: 판 종료마다 씨앗 1개당 판당 씨앗 증가량이 가장 큰 업그레이드부터 반복 구매, 최선 항목이 부족하면 중단) 결과. 「진행 시뮬」 시트 참조.</t>
  </si>
  <si>
    <t>체감 설정 (2.5D 샘플 HTML 기준)</t>
  </si>
  <si>
    <t>샘플 발사 속도(100%)</t>
  </si>
  <si>
    <t>feel_ref_v_px</t>
  </si>
  <si>
    <t>px/s</t>
  </si>
  <si>
    <t>모찌 런처 2.5D.html V100. Lv0 화면 움직임을 샘플과 같게 맞추는 기준</t>
  </si>
  <si>
    <t>샘플 중력</t>
  </si>
  <si>
    <t>feel_ref_g_px</t>
  </si>
  <si>
    <t>px/s²</t>
  </si>
  <si>
    <t>모찌 런처 2.5D.html GRAV</t>
  </si>
  <si>
    <t>시뮬 시간 배율</t>
  </si>
  <si>
    <t>sim_time_scale</t>
  </si>
  <si>
    <t>배</t>
  </si>
  <si>
    <t>계산식: 샘플g×v0 / (샘플v×g). 시뮬은 미터·실제 중력으로 계산하고(거리=공식 d), 이 배율로 빨리 재생해 샘플과 같은 체감 (ADR-012)</t>
  </si>
  <si>
    <t>카메라 기본 배율</t>
  </si>
  <si>
    <t>cam_base_px_per_m</t>
  </si>
  <si>
    <t>px/m</t>
  </si>
  <si>
    <t>계산식: 샘플v / (v0×시간배율). 가상 화면 높이 540 기준 Lv0 줌. 속도·고도에 따라 줌아웃</t>
  </si>
  <si>
    <t>정확도 게이지·당기기 (GDD §2)</t>
  </si>
  <si>
    <t>최대 힘</t>
  </si>
  <si>
    <t>gauge_max_power</t>
  </si>
  <si>
    <t>힘 0~110%</t>
  </si>
  <si>
    <t>바늘 기본 속도</t>
  </si>
  <si>
    <t>gauge_speed_base</t>
  </si>
  <si>
    <t>트랙/초</t>
  </si>
  <si>
    <t>p≤1: 0.45 + 1.35p</t>
  </si>
  <si>
    <t>바늘 속도 계수</t>
  </si>
  <si>
    <t>gauge_speed_k</t>
  </si>
  <si>
    <t>p≤1 기울기</t>
  </si>
  <si>
    <t>과충전 가속</t>
  </si>
  <si>
    <t>gauge_over_k</t>
  </si>
  <si>
    <t>p&gt;1: 1.8 × (1 + 9(p−1))</t>
  </si>
  <si>
    <t>PERFECT 폭</t>
  </si>
  <si>
    <t>gauge_zone_width</t>
  </si>
  <si>
    <t>off</t>
  </si>
  <si>
    <t>가운데에서 벗어난 정도 off ≤ 0.1 (트랙 0.45~0.55)</t>
  </si>
  <si>
    <t>GREAT 경계</t>
  </si>
  <si>
    <t>gauge_great_off</t>
  </si>
  <si>
    <t>off ≤ 0.3 (트랙 0.35~0.65)</t>
  </si>
  <si>
    <t>GOOD 경계</t>
  </si>
  <si>
    <t>gauge_good_off</t>
  </si>
  <si>
    <t>off ≤ 0.6 (트랙 0.20~0.80), 나머지 아쉬워요</t>
  </si>
  <si>
    <t>PERFECT 배율</t>
  </si>
  <si>
    <t>gauge_perfect_mult</t>
  </si>
  <si>
    <t>GREAT 최소 배율</t>
  </si>
  <si>
    <t>gauge_great_mult_min</t>
  </si>
  <si>
    <t>구간 바깥 경계 값. 안쪽 경계로 갈수록 최대까지 선형 보간</t>
  </si>
  <si>
    <t>GREAT 최대 배율</t>
  </si>
  <si>
    <t>gauge_great_mult_max</t>
  </si>
  <si>
    <t>GDD 표 ×1.03~1.13 (ADR-013, 샘플은 1.097 까지만)</t>
  </si>
  <si>
    <t>GOOD 최소 배율</t>
  </si>
  <si>
    <t>gauge_good_mult_min</t>
  </si>
  <si>
    <t>GOOD 최대 배율</t>
  </si>
  <si>
    <t>gauge_good_mult_max</t>
  </si>
  <si>
    <t>아쉬워요 최소 배율</t>
  </si>
  <si>
    <t>gauge_miss_mult_min</t>
  </si>
  <si>
    <t>아쉬워요 최대 배율</t>
  </si>
  <si>
    <t>gauge_miss_mult_max</t>
  </si>
  <si>
    <t>배율 → 속도 지수</t>
  </si>
  <si>
    <t>gauge_speed_exponent</t>
  </si>
  <si>
    <t>발사 속도 × (힘×배율)^지수. 0.5 = 힘×배율이 거리에 그대로 곱해짐(GDD "최대 거리 ×1.27"). 1 = 샘플처럼 속도에 곱함(거리는 제곱)</t>
  </si>
  <si>
    <t>최대 당김 거리</t>
  </si>
  <si>
    <t>pull_max_px</t>
  </si>
  <si>
    <t>가상 px</t>
  </si>
  <si>
    <t>샘플 MAXPULL. 이 거리에서 힘 110%</t>
  </si>
  <si>
    <t>최소 발사 힘</t>
  </si>
  <si>
    <t>pull_min_power</t>
  </si>
  <si>
    <t>이보다 약하게 놓으면 발사 취소 (샘플과 같음)</t>
  </si>
  <si>
    <t>최대 발사 각</t>
  </si>
  <si>
    <t>launch_angle_max_deg</t>
  </si>
  <si>
    <t>°</t>
  </si>
  <si>
    <t>뒤로만 날아가지 않게 0°~최대 각으로 제한</t>
  </si>
  <si>
    <t>비행 조작 (GDD §2 비행 중 조작 3종)</t>
  </si>
  <si>
    <t>부스터 연료</t>
  </si>
  <si>
    <t>boost_fuel_sec</t>
  </si>
  <si>
    <t>2.5D 샘플 fuel 1.5. 연료 = 공식 부스터 거리(20·Lv^1.3 × 바운스 배율)를 이 시간 동안 나눠 씀. 공중에서 다 쓰면 공식 거리와 같음</t>
  </si>
  <si>
    <t>부스터 1탭 분사</t>
  </si>
  <si>
    <t>boost_tap_sec</t>
  </si>
  <si>
    <t>탭 한 번에 쓰는 연료 (1.5초 = 5탭)</t>
  </si>
  <si>
    <t>볼 부풀리기 활공비</t>
  </si>
  <si>
    <t>inflate_glide_ratio</t>
  </si>
  <si>
    <t>낙하/수평</t>
  </si>
  <si>
    <t>부풀린 동안 낙하 속도 ≤ 수평 속도 × 이 값 (낙하산 활공)</t>
  </si>
  <si>
    <t>볼 부풀리기 감속</t>
  </si>
  <si>
    <t>inflate_drag_per_sec</t>
  </si>
  <si>
    <t>1/초</t>
  </si>
  <si>
    <t>부풀린 동안 수평 속도 감소율 (멀리 vs 빠르게)</t>
  </si>
  <si>
    <t>급강하 속도비</t>
  </si>
  <si>
    <t>dive_speed_ratio</t>
  </si>
  <si>
    <t>급강하 시 낙하 속도 = 수평 속도 × 이 값 이상</t>
  </si>
  <si>
    <t>급강하 바운스 배율</t>
  </si>
  <si>
    <t>dive_bounce_mult</t>
  </si>
  <si>
    <t>급강하로 바운스 오브젝트를 맞히면 튀는 속도 배율 (P5)</t>
  </si>
  <si>
    <t>급강하 퍼펙트 창</t>
  </si>
  <si>
    <t>dive_perfect_window_sec</t>
  </si>
  <si>
    <t>급강하 시작 후 이 시간 안에 맞히면 퍼펙트 (P5)</t>
  </si>
  <si>
    <t>급강하 퍼펙트 배율</t>
  </si>
  <si>
    <t>dive_perfect_mult</t>
  </si>
  <si>
    <t>퍼펙트 보너스 튀는 속도 배율 (P5)</t>
  </si>
  <si>
    <t>홀드 판정 시간</t>
  </si>
  <si>
    <t>gesture_hold_sec</t>
  </si>
  <si>
    <t>이보다 오래 누르면 볼 부풀리기, 짧게 떼면 부스터 탭</t>
  </si>
  <si>
    <t>스와이프 거리</t>
  </si>
  <si>
    <t>gesture_swipe_px</t>
  </si>
  <si>
    <t>아래로 이만큼 쓸면 급강하</t>
  </si>
  <si>
    <t>스와이프 시간</t>
  </si>
  <si>
    <t>gesture_swipe_max_sec</t>
  </si>
  <si>
    <t>이 시간 안에 쓸어야 스와이프</t>
  </si>
  <si>
    <r>
      <rPr>
        <b/>
        <sz val="14"/>
        <rFont val="Noto Sans CJK SC"/>
        <charset val="134"/>
      </rPr>
      <t>레벨별 비용</t>
    </r>
    <r>
      <rPr>
        <b/>
        <sz val="14"/>
        <rFont val="Arial"/>
        <charset val="1"/>
      </rPr>
      <t>·</t>
    </r>
    <r>
      <rPr>
        <b/>
        <sz val="14"/>
        <rFont val="Noto Sans CJK SC"/>
        <charset val="134"/>
      </rPr>
      <t xml:space="preserve">효과 </t>
    </r>
    <r>
      <rPr>
        <b/>
        <sz val="14"/>
        <rFont val="Arial"/>
        <charset val="1"/>
      </rPr>
      <t>(</t>
    </r>
    <r>
      <rPr>
        <b/>
        <sz val="14"/>
        <rFont val="Noto Sans CJK SC"/>
        <charset val="134"/>
      </rPr>
      <t>설정 시트 값으로 자동 계산</t>
    </r>
    <r>
      <rPr>
        <b/>
        <sz val="14"/>
        <rFont val="Arial"/>
        <charset val="1"/>
      </rPr>
      <t>)</t>
    </r>
  </si>
  <si>
    <t>Lv</t>
  </si>
  <si>
    <t>고무줄 비용</t>
  </si>
  <si>
    <t>공기역학 비용</t>
  </si>
  <si>
    <t>부스터 비용</t>
  </si>
  <si>
    <t>바운스 비용</t>
  </si>
  <si>
    <t>볼주머니 비용</t>
  </si>
  <si>
    <r>
      <rPr>
        <b/>
        <sz val="11"/>
        <color rgb="FFFFFFFF"/>
        <rFont val="Noto Sans CJK SC"/>
        <charset val="134"/>
      </rPr>
      <t>발사속도</t>
    </r>
    <r>
      <rPr>
        <b/>
        <sz val="11"/>
        <color rgb="FFFFFFFF"/>
        <rFont val="Arial"/>
        <charset val="1"/>
      </rPr>
      <t>(m/s)</t>
    </r>
  </si>
  <si>
    <t>공기역학 배율</t>
  </si>
  <si>
    <r>
      <rPr>
        <b/>
        <sz val="11"/>
        <color rgb="FFFFFFFF"/>
        <rFont val="Noto Sans CJK SC"/>
        <charset val="134"/>
      </rPr>
      <t>부스터 거리</t>
    </r>
    <r>
      <rPr>
        <b/>
        <sz val="11"/>
        <color rgb="FFFFFFFF"/>
        <rFont val="Arial"/>
        <charset val="1"/>
      </rPr>
      <t>(m)</t>
    </r>
  </si>
  <si>
    <t>바운스 배율</t>
  </si>
  <si>
    <r>
      <rPr>
        <b/>
        <sz val="11"/>
        <color rgb="FFFFFFFF"/>
        <rFont val="Noto Sans CJK SC"/>
        <charset val="134"/>
      </rPr>
      <t>예상 거리</t>
    </r>
    <r>
      <rPr>
        <b/>
        <sz val="11"/>
        <color rgb="FFFFFFFF"/>
        <rFont val="Arial"/>
        <charset val="1"/>
      </rPr>
      <t>(m)
(</t>
    </r>
    <r>
      <rPr>
        <b/>
        <sz val="11"/>
        <color rgb="FFFFFFFF"/>
        <rFont val="Noto Sans CJK SC"/>
        <charset val="134"/>
      </rPr>
      <t xml:space="preserve">전 항목 동일 </t>
    </r>
    <r>
      <rPr>
        <b/>
        <sz val="11"/>
        <color rgb="FFFFFFFF"/>
        <rFont val="Arial"/>
        <charset val="1"/>
      </rPr>
      <t>Lv)</t>
    </r>
  </si>
  <si>
    <r>
      <rPr>
        <b/>
        <sz val="14"/>
        <rFont val="Noto Sans CJK SC"/>
        <charset val="134"/>
      </rPr>
      <t xml:space="preserve">판별 진행 시뮬레이션 — 광고 시청률 </t>
    </r>
    <r>
      <rPr>
        <b/>
        <sz val="14"/>
        <rFont val="Arial"/>
        <charset val="1"/>
      </rPr>
      <t>3</t>
    </r>
    <r>
      <rPr>
        <b/>
        <sz val="14"/>
        <rFont val="Noto Sans CJK SC"/>
        <charset val="134"/>
      </rPr>
      <t>개 시나리오</t>
    </r>
  </si>
  <si>
    <t>tool/balance/pacing_sim.py 생성값(수식 아님). 설정 변경 시 export_balance.py → pacing_sim.py 재실행. 구매 규칙: 판 종료마다 '씨앗 1개당 판당 씨앗 증가량' 최대 업그레이드를 반복 구매, 최선 항목이 부족하면 중단. 비용 ROUND(사사오입). 광고 30% = 매판 씨앗 ×1.3(기대값), 광고 100% = ×2.</t>
  </si>
  <si>
    <t>판</t>
  </si>
  <si>
    <r>
      <rPr>
        <b/>
        <sz val="11"/>
        <color rgb="FFFFFFFF"/>
        <rFont val="Noto Sans CJK SC"/>
        <charset val="134"/>
      </rPr>
      <t>누적 시간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charset val="134"/>
      </rPr>
      <t>분</t>
    </r>
    <r>
      <rPr>
        <b/>
        <sz val="11"/>
        <color rgb="FFFFFFFF"/>
        <rFont val="Arial"/>
        <charset val="1"/>
      </rPr>
      <t>)</t>
    </r>
  </si>
  <si>
    <r>
      <rPr>
        <b/>
        <sz val="11"/>
        <color rgb="FFFFFFFF"/>
        <rFont val="Noto Sans CJK SC"/>
        <charset val="134"/>
      </rPr>
      <t>거리 — 광고</t>
    </r>
    <r>
      <rPr>
        <b/>
        <sz val="11"/>
        <color rgb="FFFFFFFF"/>
        <rFont val="Arial"/>
        <charset val="1"/>
      </rPr>
      <t>X</t>
    </r>
  </si>
  <si>
    <r>
      <rPr>
        <b/>
        <sz val="11"/>
        <color rgb="FFFFFFFF"/>
        <rFont val="Noto Sans CJK SC"/>
        <charset val="134"/>
      </rPr>
      <t xml:space="preserve">거리 — 광고 </t>
    </r>
    <r>
      <rPr>
        <b/>
        <sz val="11"/>
        <color rgb="FFFFFFFF"/>
        <rFont val="Arial"/>
        <charset val="1"/>
      </rPr>
      <t>30%</t>
    </r>
  </si>
  <si>
    <r>
      <rPr>
        <b/>
        <sz val="11"/>
        <color rgb="FFFFFFFF"/>
        <rFont val="Noto Sans CJK SC"/>
        <charset val="134"/>
      </rPr>
      <t xml:space="preserve">거리 — 광고 </t>
    </r>
    <r>
      <rPr>
        <b/>
        <sz val="11"/>
        <color rgb="FFFFFFFF"/>
        <rFont val="Arial"/>
        <charset val="1"/>
      </rPr>
      <t>100%</t>
    </r>
  </si>
  <si>
    <r>
      <rPr>
        <b/>
        <sz val="11"/>
        <color rgb="FFFFFFFF"/>
        <rFont val="Noto Sans CJK SC"/>
        <charset val="134"/>
      </rPr>
      <t>씨앗 — 광고</t>
    </r>
    <r>
      <rPr>
        <b/>
        <sz val="11"/>
        <color rgb="FFFFFFFF"/>
        <rFont val="Arial"/>
        <charset val="1"/>
      </rPr>
      <t>X</t>
    </r>
  </si>
  <si>
    <r>
      <rPr>
        <b/>
        <sz val="11"/>
        <color rgb="FFFFFFFF"/>
        <rFont val="Noto Sans CJK SC"/>
        <charset val="134"/>
      </rPr>
      <t xml:space="preserve">씨앗 — 광고 </t>
    </r>
    <r>
      <rPr>
        <b/>
        <sz val="11"/>
        <color rgb="FFFFFFFF"/>
        <rFont val="Arial"/>
        <charset val="1"/>
      </rPr>
      <t>100%</t>
    </r>
  </si>
  <si>
    <r>
      <rPr>
        <b/>
        <sz val="11"/>
        <color rgb="FFFFFFFF"/>
        <rFont val="Noto Sans CJK SC"/>
        <charset val="134"/>
      </rPr>
      <t>광고</t>
    </r>
    <r>
      <rPr>
        <b/>
        <sz val="11"/>
        <color rgb="FFFFFFFF"/>
        <rFont val="Arial"/>
        <charset val="1"/>
      </rPr>
      <t xml:space="preserve">X </t>
    </r>
    <r>
      <rPr>
        <b/>
        <sz val="11"/>
        <color rgb="FFFFFFFF"/>
        <rFont val="Noto Sans CJK SC"/>
        <charset val="134"/>
      </rPr>
      <t>판당 성장률</t>
    </r>
  </si>
  <si>
    <t>구역 도달 판수</t>
  </si>
  <si>
    <r>
      <rPr>
        <b/>
        <sz val="11"/>
        <color rgb="FFFFFFFF"/>
        <rFont val="Noto Sans CJK SC"/>
        <charset val="134"/>
      </rPr>
      <t>광고</t>
    </r>
    <r>
      <rPr>
        <b/>
        <sz val="11"/>
        <color rgb="FFFFFFFF"/>
        <rFont val="Arial"/>
        <charset val="1"/>
      </rPr>
      <t>X</t>
    </r>
  </si>
  <si>
    <r>
      <rPr>
        <b/>
        <sz val="11"/>
        <color rgb="FFFFFFFF"/>
        <rFont val="Noto Sans CJK SC"/>
        <charset val="134"/>
      </rPr>
      <t xml:space="preserve">광고 </t>
    </r>
    <r>
      <rPr>
        <b/>
        <sz val="11"/>
        <color rgb="FFFFFFFF"/>
        <rFont val="Arial"/>
        <charset val="1"/>
      </rPr>
      <t>30%</t>
    </r>
  </si>
  <si>
    <r>
      <rPr>
        <b/>
        <sz val="11"/>
        <color rgb="FFFFFFFF"/>
        <rFont val="Noto Sans CJK SC"/>
        <charset val="134"/>
      </rPr>
      <t xml:space="preserve">광고 </t>
    </r>
    <r>
      <rPr>
        <b/>
        <sz val="11"/>
        <color rgb="FFFFFFFF"/>
        <rFont val="Arial"/>
        <charset val="1"/>
      </rPr>
      <t>100%</t>
    </r>
  </si>
  <si>
    <r>
      <rPr>
        <i/>
        <sz val="11"/>
        <rFont val="Noto Sans CJK SC"/>
        <charset val="134"/>
      </rPr>
      <t xml:space="preserve">→ 광고를 매판 보면 달 도달이 약 </t>
    </r>
    <r>
      <rPr>
        <i/>
        <sz val="11"/>
        <rFont val="Arial"/>
        <charset val="1"/>
      </rPr>
      <t xml:space="preserve">47% </t>
    </r>
    <r>
      <rPr>
        <i/>
        <sz val="11"/>
        <rFont val="Noto Sans CJK SC"/>
        <charset val="134"/>
      </rPr>
      <t>빨라짐</t>
    </r>
    <r>
      <rPr>
        <i/>
        <sz val="11"/>
        <rFont val="Arial"/>
        <charset val="1"/>
      </rPr>
      <t>(113→60</t>
    </r>
    <r>
      <rPr>
        <i/>
        <sz val="11"/>
        <rFont val="Noto Sans CJK SC"/>
        <charset val="134"/>
      </rPr>
      <t>판</t>
    </r>
    <r>
      <rPr>
        <i/>
        <sz val="11"/>
        <rFont val="Arial"/>
        <charset val="1"/>
      </rPr>
      <t xml:space="preserve">). </t>
    </r>
    <r>
      <rPr>
        <i/>
        <sz val="11"/>
        <rFont val="Noto Sans CJK SC"/>
        <charset val="134"/>
      </rPr>
      <t>광고 가치가 체감되는 격차</t>
    </r>
    <r>
      <rPr>
        <i/>
        <sz val="11"/>
        <rFont val="Arial"/>
        <charset val="1"/>
      </rPr>
      <t>.</t>
    </r>
  </si>
  <si>
    <r>
      <rPr>
        <b/>
        <sz val="14"/>
        <rFont val="Noto Sans CJK SC"/>
        <charset val="134"/>
      </rPr>
      <t xml:space="preserve">수익 추정 </t>
    </r>
    <r>
      <rPr>
        <b/>
        <sz val="14"/>
        <rFont val="Arial"/>
        <charset val="1"/>
      </rPr>
      <t>(</t>
    </r>
    <r>
      <rPr>
        <b/>
        <sz val="14"/>
        <rFont val="Noto Sans CJK SC"/>
        <charset val="134"/>
      </rPr>
      <t>입력값 변경 시 자동 계산</t>
    </r>
    <r>
      <rPr>
        <b/>
        <sz val="14"/>
        <rFont val="Arial"/>
        <charset val="1"/>
      </rPr>
      <t>)</t>
    </r>
  </si>
  <si>
    <t>항목</t>
  </si>
  <si>
    <r>
      <rPr>
        <b/>
        <sz val="11"/>
        <color rgb="FFFFFFFF"/>
        <rFont val="Noto Sans CJK SC"/>
        <charset val="134"/>
      </rPr>
      <t>근거</t>
    </r>
    <r>
      <rPr>
        <b/>
        <sz val="11"/>
        <color rgb="FFFFFFFF"/>
        <rFont val="Arial"/>
        <charset val="1"/>
      </rPr>
      <t>/</t>
    </r>
    <r>
      <rPr>
        <b/>
        <sz val="11"/>
        <color rgb="FFFFFFFF"/>
        <rFont val="Noto Sans CJK SC"/>
        <charset val="134"/>
      </rPr>
      <t>메모</t>
    </r>
  </si>
  <si>
    <t>DAU</t>
  </si>
  <si>
    <t>명</t>
  </si>
  <si>
    <t>가정 — 소프트런칭 후 목표치로 교체</t>
  </si>
  <si>
    <r>
      <rPr>
        <sz val="11"/>
        <rFont val="Noto Sans CJK SC"/>
        <charset val="134"/>
      </rPr>
      <t>보상형 광고 시청</t>
    </r>
    <r>
      <rPr>
        <sz val="11"/>
        <rFont val="Arial"/>
        <charset val="1"/>
      </rPr>
      <t>/DAU</t>
    </r>
  </si>
  <si>
    <r>
      <rPr>
        <sz val="11"/>
        <rFont val="Noto Sans CJK SC"/>
        <charset val="134"/>
      </rPr>
      <t>회</t>
    </r>
    <r>
      <rPr>
        <sz val="11"/>
        <rFont val="Arial"/>
        <charset val="1"/>
      </rPr>
      <t>/</t>
    </r>
    <r>
      <rPr>
        <sz val="11"/>
        <rFont val="Noto Sans CJK SC"/>
        <charset val="134"/>
      </rPr>
      <t>일</t>
    </r>
  </si>
  <si>
    <r>
      <rPr>
        <sz val="11"/>
        <rFont val="Noto Sans CJK SC"/>
        <charset val="134"/>
      </rPr>
      <t xml:space="preserve">설계 목표 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 xml:space="preserve">결과 </t>
    </r>
    <r>
      <rPr>
        <sz val="11"/>
        <rFont val="Arial"/>
        <charset val="1"/>
      </rPr>
      <t>2</t>
    </r>
    <r>
      <rPr>
        <sz val="11"/>
        <rFont val="Noto Sans CJK SC"/>
        <charset val="134"/>
      </rPr>
      <t>배</t>
    </r>
    <r>
      <rPr>
        <sz val="11"/>
        <rFont val="Arial"/>
        <charset val="1"/>
      </rPr>
      <t>·</t>
    </r>
    <r>
      <rPr>
        <sz val="11"/>
        <rFont val="Noto Sans CJK SC"/>
        <charset val="134"/>
      </rPr>
      <t>부스트</t>
    </r>
    <r>
      <rPr>
        <sz val="11"/>
        <rFont val="Arial"/>
        <charset val="1"/>
      </rPr>
      <t>·</t>
    </r>
    <r>
      <rPr>
        <sz val="11"/>
        <rFont val="Noto Sans CJK SC"/>
        <charset val="134"/>
      </rPr>
      <t xml:space="preserve">오프라인 </t>
    </r>
    <r>
      <rPr>
        <sz val="11"/>
        <rFont val="Arial"/>
        <charset val="1"/>
      </rPr>
      <t>2</t>
    </r>
    <r>
      <rPr>
        <sz val="11"/>
        <rFont val="Noto Sans CJK SC"/>
        <charset val="134"/>
      </rPr>
      <t>배</t>
    </r>
    <r>
      <rPr>
        <sz val="11"/>
        <rFont val="Arial"/>
        <charset val="1"/>
      </rPr>
      <t>)</t>
    </r>
  </si>
  <si>
    <r>
      <rPr>
        <sz val="11"/>
        <rFont val="Noto Sans CJK SC"/>
        <charset val="134"/>
      </rPr>
      <t xml:space="preserve">보상형 </t>
    </r>
    <r>
      <rPr>
        <sz val="11"/>
        <rFont val="Arial"/>
        <charset val="1"/>
      </rPr>
      <t>eCPM</t>
    </r>
  </si>
  <si>
    <t>USD</t>
  </si>
  <si>
    <r>
      <rPr>
        <sz val="11"/>
        <rFont val="Noto Sans CJK SC"/>
        <charset val="134"/>
      </rPr>
      <t>가정 — 국가</t>
    </r>
    <r>
      <rPr>
        <sz val="11"/>
        <rFont val="Arial"/>
        <charset val="1"/>
      </rPr>
      <t>/</t>
    </r>
    <r>
      <rPr>
        <sz val="11"/>
        <rFont val="Noto Sans CJK SC"/>
        <charset val="134"/>
      </rPr>
      <t>메디에이션에 따라 큰 편차</t>
    </r>
    <r>
      <rPr>
        <sz val="11"/>
        <rFont val="Arial"/>
        <charset val="1"/>
      </rPr>
      <t xml:space="preserve">, </t>
    </r>
    <r>
      <rPr>
        <sz val="11"/>
        <rFont val="Noto Sans CJK SC"/>
        <charset val="134"/>
      </rPr>
      <t>실측으로 교체</t>
    </r>
  </si>
  <si>
    <r>
      <rPr>
        <sz val="11"/>
        <rFont val="Noto Sans CJK SC"/>
        <charset val="134"/>
      </rPr>
      <t>전면 광고 노출</t>
    </r>
    <r>
      <rPr>
        <sz val="11"/>
        <rFont val="Arial"/>
        <charset val="1"/>
      </rPr>
      <t>/DAU</t>
    </r>
  </si>
  <si>
    <r>
      <rPr>
        <sz val="11"/>
        <rFont val="Arial"/>
        <charset val="1"/>
      </rPr>
      <t>3~4</t>
    </r>
    <r>
      <rPr>
        <sz val="11"/>
        <rFont val="Noto Sans CJK SC"/>
        <charset val="134"/>
      </rPr>
      <t xml:space="preserve">판마다 </t>
    </r>
    <r>
      <rPr>
        <sz val="11"/>
        <rFont val="Arial"/>
        <charset val="1"/>
      </rPr>
      <t>1</t>
    </r>
    <r>
      <rPr>
        <sz val="11"/>
        <rFont val="Noto Sans CJK SC"/>
        <charset val="134"/>
      </rPr>
      <t>회</t>
    </r>
    <r>
      <rPr>
        <sz val="11"/>
        <rFont val="Arial"/>
        <charset val="1"/>
      </rPr>
      <t xml:space="preserve">, </t>
    </r>
    <r>
      <rPr>
        <sz val="11"/>
        <rFont val="Noto Sans CJK SC"/>
        <charset val="134"/>
      </rPr>
      <t xml:space="preserve">첫 </t>
    </r>
    <r>
      <rPr>
        <sz val="11"/>
        <rFont val="Arial"/>
        <charset val="1"/>
      </rPr>
      <t>5</t>
    </r>
    <r>
      <rPr>
        <sz val="11"/>
        <rFont val="Noto Sans CJK SC"/>
        <charset val="134"/>
      </rPr>
      <t>판 제외</t>
    </r>
  </si>
  <si>
    <r>
      <rPr>
        <sz val="11"/>
        <rFont val="Noto Sans CJK SC"/>
        <charset val="134"/>
      </rPr>
      <t xml:space="preserve">전면 </t>
    </r>
    <r>
      <rPr>
        <sz val="11"/>
        <rFont val="Arial"/>
        <charset val="1"/>
      </rPr>
      <t>eCPM</t>
    </r>
  </si>
  <si>
    <t>가정</t>
  </si>
  <si>
    <r>
      <rPr>
        <sz val="11"/>
        <rFont val="Noto Sans CJK SC"/>
        <charset val="134"/>
      </rPr>
      <t>광고 제거 구매 비율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전면 제거</t>
    </r>
    <r>
      <rPr>
        <sz val="11"/>
        <rFont val="Arial"/>
        <charset val="1"/>
      </rPr>
      <t>)</t>
    </r>
  </si>
  <si>
    <r>
      <rPr>
        <sz val="11"/>
        <rFont val="Arial"/>
        <charset val="1"/>
      </rPr>
      <t xml:space="preserve">DAU </t>
    </r>
    <r>
      <rPr>
        <sz val="11"/>
        <rFont val="Noto Sans CJK SC"/>
        <charset val="134"/>
      </rPr>
      <t>대비 누적</t>
    </r>
  </si>
  <si>
    <r>
      <rPr>
        <sz val="11"/>
        <rFont val="Arial"/>
        <charset val="1"/>
      </rPr>
      <t xml:space="preserve">IAP </t>
    </r>
    <r>
      <rPr>
        <sz val="11"/>
        <rFont val="Noto Sans CJK SC"/>
        <charset val="134"/>
      </rPr>
      <t>결제 전환율</t>
    </r>
  </si>
  <si>
    <r>
      <rPr>
        <sz val="11"/>
        <rFont val="Noto Sans CJK SC"/>
        <charset val="134"/>
      </rPr>
      <t xml:space="preserve">일간 </t>
    </r>
    <r>
      <rPr>
        <sz val="11"/>
        <rFont val="Arial"/>
        <charset val="1"/>
      </rPr>
      <t xml:space="preserve">DAU </t>
    </r>
    <r>
      <rPr>
        <sz val="11"/>
        <rFont val="Noto Sans CJK SC"/>
        <charset val="134"/>
      </rPr>
      <t>대비</t>
    </r>
  </si>
  <si>
    <t>가정 — 하이브리드 캐주얼 일반 범위</t>
  </si>
  <si>
    <r>
      <rPr>
        <sz val="11"/>
        <rFont val="Noto Sans CJK SC"/>
        <charset val="134"/>
      </rPr>
      <t>결제자 평균 결제액</t>
    </r>
    <r>
      <rPr>
        <sz val="11"/>
        <rFont val="Arial"/>
        <charset val="1"/>
      </rPr>
      <t>(ARPPU)</t>
    </r>
  </si>
  <si>
    <r>
      <rPr>
        <sz val="11"/>
        <rFont val="Noto Sans CJK SC"/>
        <charset val="134"/>
      </rPr>
      <t>스타터팩</t>
    </r>
    <r>
      <rPr>
        <sz val="11"/>
        <rFont val="Arial"/>
        <charset val="1"/>
      </rPr>
      <t>·</t>
    </r>
    <r>
      <rPr>
        <sz val="11"/>
        <rFont val="Noto Sans CJK SC"/>
        <charset val="134"/>
      </rPr>
      <t>코인팩 혼합 가정</t>
    </r>
  </si>
  <si>
    <t>스토어 수수료</t>
  </si>
  <si>
    <r>
      <rPr>
        <sz val="11"/>
        <rFont val="Arial"/>
        <charset val="1"/>
      </rPr>
      <t xml:space="preserve">Google Play </t>
    </r>
    <r>
      <rPr>
        <sz val="11"/>
        <rFont val="Noto Sans CJK SC"/>
        <charset val="134"/>
      </rPr>
      <t xml:space="preserve">소규모 사업자 </t>
    </r>
    <r>
      <rPr>
        <sz val="11"/>
        <rFont val="Arial"/>
        <charset val="1"/>
      </rPr>
      <t xml:space="preserve">15% </t>
    </r>
    <r>
      <rPr>
        <sz val="11"/>
        <rFont val="Noto Sans CJK SC"/>
        <charset val="134"/>
      </rPr>
      <t>구간</t>
    </r>
  </si>
  <si>
    <t>환율</t>
  </si>
  <si>
    <t>KRW/USD</t>
  </si>
  <si>
    <t>가정 — 실제 환율로 교체</t>
  </si>
  <si>
    <t>계산</t>
  </si>
  <si>
    <r>
      <rPr>
        <b/>
        <sz val="11"/>
        <color rgb="FFFFFFFF"/>
        <rFont val="Noto Sans CJK SC"/>
        <charset val="134"/>
      </rPr>
      <t>일 수익</t>
    </r>
    <r>
      <rPr>
        <b/>
        <sz val="11"/>
        <color rgb="FFFFFFFF"/>
        <rFont val="Arial"/>
        <charset val="1"/>
      </rPr>
      <t>(USD)</t>
    </r>
  </si>
  <si>
    <r>
      <rPr>
        <b/>
        <sz val="11"/>
        <color rgb="FFFFFFFF"/>
        <rFont val="Noto Sans CJK SC"/>
        <charset val="134"/>
      </rPr>
      <t>월 수익</t>
    </r>
    <r>
      <rPr>
        <b/>
        <sz val="11"/>
        <color rgb="FFFFFFFF"/>
        <rFont val="Arial"/>
        <charset val="1"/>
      </rPr>
      <t>(USD)</t>
    </r>
  </si>
  <si>
    <r>
      <rPr>
        <b/>
        <sz val="11"/>
        <color rgb="FFFFFFFF"/>
        <rFont val="Noto Sans CJK SC"/>
        <charset val="134"/>
      </rPr>
      <t>월 수익</t>
    </r>
    <r>
      <rPr>
        <b/>
        <sz val="11"/>
        <color rgb="FFFFFFFF"/>
        <rFont val="Arial"/>
        <charset val="1"/>
      </rPr>
      <t>(KRW)</t>
    </r>
  </si>
  <si>
    <t>보상형 광고</t>
  </si>
  <si>
    <t>전면 광고</t>
  </si>
  <si>
    <r>
      <rPr>
        <sz val="11"/>
        <rFont val="Arial"/>
        <charset val="1"/>
      </rPr>
      <t>IAP(</t>
    </r>
    <r>
      <rPr>
        <sz val="11"/>
        <rFont val="Noto Sans CJK SC"/>
        <charset val="134"/>
      </rPr>
      <t>수수료 차감</t>
    </r>
    <r>
      <rPr>
        <sz val="11"/>
        <rFont val="Arial"/>
        <charset val="1"/>
      </rPr>
      <t>)</t>
    </r>
  </si>
  <si>
    <t>합계</t>
  </si>
  <si>
    <t>광고 비중</t>
  </si>
  <si>
    <t>ARPDAU</t>
  </si>
  <si>
    <r>
      <rPr>
        <i/>
        <sz val="11"/>
        <color rgb="FF666666"/>
        <rFont val="Noto Sans CJK SC"/>
        <charset val="134"/>
      </rPr>
      <t>※ 모든 입력값은 가정치입니다</t>
    </r>
    <r>
      <rPr>
        <i/>
        <sz val="11"/>
        <color rgb="FF666666"/>
        <rFont val="Arial"/>
        <charset val="1"/>
      </rPr>
      <t xml:space="preserve">. </t>
    </r>
    <r>
      <rPr>
        <i/>
        <sz val="11"/>
        <color rgb="FF666666"/>
        <rFont val="Noto Sans CJK SC"/>
        <charset val="134"/>
      </rPr>
      <t xml:space="preserve">소프트런칭 후 </t>
    </r>
    <r>
      <rPr>
        <i/>
        <sz val="11"/>
        <color rgb="FF666666"/>
        <rFont val="Arial"/>
        <charset val="1"/>
      </rPr>
      <t xml:space="preserve">AdMob·Play Console </t>
    </r>
    <r>
      <rPr>
        <i/>
        <sz val="11"/>
        <color rgb="FF666666"/>
        <rFont val="Noto Sans CJK SC"/>
        <charset val="134"/>
      </rPr>
      <t>실측값으로 교체하세요</t>
    </r>
    <r>
      <rPr>
        <i/>
        <sz val="11"/>
        <color rgb="FF666666"/>
        <rFont val="Arial"/>
        <charset val="1"/>
      </rPr>
      <t>.</t>
    </r>
  </si>
  <si>
    <r>
      <rPr>
        <b/>
        <sz val="14"/>
        <rFont val="Noto Sans CJK SC"/>
        <charset val="134"/>
      </rPr>
      <t>별사탕</t>
    </r>
    <r>
      <rPr>
        <b/>
        <sz val="14"/>
        <rFont val="Arial"/>
        <charset val="1"/>
      </rPr>
      <t>(</t>
    </r>
    <r>
      <rPr>
        <b/>
        <sz val="14"/>
        <rFont val="Noto Sans CJK SC"/>
        <charset val="134"/>
      </rPr>
      <t>하드 화폐</t>
    </r>
    <r>
      <rPr>
        <b/>
        <sz val="14"/>
        <rFont val="Arial"/>
        <charset val="1"/>
      </rPr>
      <t xml:space="preserve">) </t>
    </r>
    <r>
      <rPr>
        <b/>
        <sz val="14"/>
        <rFont val="Noto Sans CJK SC"/>
        <charset val="134"/>
      </rPr>
      <t>주간 수급 — 무과금 기준</t>
    </r>
  </si>
  <si>
    <t>획득처</t>
  </si>
  <si>
    <r>
      <rPr>
        <b/>
        <sz val="11"/>
        <color rgb="FFFFFFFF"/>
        <rFont val="Noto Sans CJK SC"/>
        <charset val="134"/>
      </rPr>
      <t>횟수</t>
    </r>
    <r>
      <rPr>
        <b/>
        <sz val="11"/>
        <color rgb="FFFFFFFF"/>
        <rFont val="Arial"/>
        <charset val="1"/>
      </rPr>
      <t>/</t>
    </r>
    <r>
      <rPr>
        <b/>
        <sz val="11"/>
        <color rgb="FFFFFFFF"/>
        <rFont val="Noto Sans CJK SC"/>
        <charset val="134"/>
      </rPr>
      <t>주</t>
    </r>
  </si>
  <si>
    <r>
      <rPr>
        <b/>
        <sz val="11"/>
        <color rgb="FFFFFFFF"/>
        <rFont val="Arial"/>
        <charset val="1"/>
      </rPr>
      <t>1</t>
    </r>
    <r>
      <rPr>
        <b/>
        <sz val="11"/>
        <color rgb="FFFFFFFF"/>
        <rFont val="Noto Sans CJK SC"/>
        <charset val="134"/>
      </rPr>
      <t>회 보상</t>
    </r>
  </si>
  <si>
    <t>주간 획득</t>
  </si>
  <si>
    <t>메모</t>
  </si>
  <si>
    <r>
      <rPr>
        <sz val="11"/>
        <rFont val="Noto Sans CJK SC"/>
        <charset val="134"/>
      </rPr>
      <t xml:space="preserve">일일 미션 </t>
    </r>
    <r>
      <rPr>
        <sz val="11"/>
        <rFont val="Arial"/>
        <charset val="1"/>
      </rPr>
      <t>(3</t>
    </r>
    <r>
      <rPr>
        <sz val="11"/>
        <rFont val="Noto Sans CJK SC"/>
        <charset val="134"/>
      </rPr>
      <t xml:space="preserve">개 </t>
    </r>
    <r>
      <rPr>
        <sz val="11"/>
        <rFont val="Arial"/>
        <charset val="1"/>
      </rPr>
      <t>× 10)</t>
    </r>
  </si>
  <si>
    <t>매일 완료 가정</t>
  </si>
  <si>
    <t>일일 미션 전부 완료 보너스</t>
  </si>
  <si>
    <r>
      <rPr>
        <sz val="11"/>
        <rFont val="Arial"/>
        <charset val="1"/>
      </rPr>
      <t>7</t>
    </r>
    <r>
      <rPr>
        <sz val="11"/>
        <rFont val="Noto Sans CJK SC"/>
        <charset val="134"/>
      </rPr>
      <t xml:space="preserve">일 출석 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합계 환산</t>
    </r>
    <r>
      <rPr>
        <sz val="11"/>
        <rFont val="Arial"/>
        <charset val="1"/>
      </rPr>
      <t>)</t>
    </r>
  </si>
  <si>
    <r>
      <rPr>
        <sz val="11"/>
        <rFont val="Arial"/>
        <charset val="1"/>
      </rPr>
      <t>7</t>
    </r>
    <r>
      <rPr>
        <sz val="11"/>
        <rFont val="Noto Sans CJK SC"/>
        <charset val="134"/>
      </rPr>
      <t>일째 한정 스킨 별도</t>
    </r>
  </si>
  <si>
    <r>
      <rPr>
        <sz val="11"/>
        <rFont val="Noto Sans CJK SC"/>
        <charset val="134"/>
      </rPr>
      <t xml:space="preserve">업적 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주 평균</t>
    </r>
    <r>
      <rPr>
        <sz val="11"/>
        <rFont val="Arial"/>
        <charset val="1"/>
      </rPr>
      <t>)</t>
    </r>
  </si>
  <si>
    <t>초반 많고 후반 감소</t>
  </si>
  <si>
    <t>보물 상자 이벤트</t>
  </si>
  <si>
    <r>
      <rPr>
        <sz val="11"/>
        <rFont val="Noto Sans CJK SC"/>
        <charset val="134"/>
      </rPr>
      <t xml:space="preserve">판당 약 </t>
    </r>
    <r>
      <rPr>
        <sz val="11"/>
        <rFont val="Arial"/>
        <charset val="1"/>
      </rPr>
      <t xml:space="preserve">10% </t>
    </r>
    <r>
      <rPr>
        <sz val="11"/>
        <rFont val="Noto Sans CJK SC"/>
        <charset val="134"/>
      </rPr>
      <t>중 일부</t>
    </r>
  </si>
  <si>
    <t>주간 합계</t>
  </si>
  <si>
    <t>소비처</t>
  </si>
  <si>
    <r>
      <rPr>
        <b/>
        <sz val="11"/>
        <color rgb="FFFFFFFF"/>
        <rFont val="Noto Sans CJK SC"/>
        <charset val="134"/>
      </rPr>
      <t>가격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charset val="134"/>
      </rPr>
      <t>별사탕</t>
    </r>
    <r>
      <rPr>
        <b/>
        <sz val="11"/>
        <color rgb="FFFFFFFF"/>
        <rFont val="Arial"/>
        <charset val="1"/>
      </rPr>
      <t>)</t>
    </r>
  </si>
  <si>
    <t>주간 가능 횟수</t>
  </si>
  <si>
    <r>
      <rPr>
        <sz val="11"/>
        <rFont val="Noto Sans CJK SC"/>
        <charset val="134"/>
      </rPr>
      <t xml:space="preserve">뽑기 </t>
    </r>
    <r>
      <rPr>
        <sz val="11"/>
        <rFont val="Arial"/>
        <charset val="1"/>
      </rPr>
      <t>1</t>
    </r>
    <r>
      <rPr>
        <sz val="11"/>
        <rFont val="Noto Sans CJK SC"/>
        <charset val="134"/>
      </rPr>
      <t>회</t>
    </r>
  </si>
  <si>
    <r>
      <rPr>
        <sz val="11"/>
        <rFont val="Noto Sans CJK SC"/>
        <charset val="134"/>
      </rPr>
      <t>목표</t>
    </r>
    <r>
      <rPr>
        <sz val="11"/>
        <rFont val="Arial"/>
        <charset val="1"/>
      </rPr>
      <t xml:space="preserve">: </t>
    </r>
    <r>
      <rPr>
        <sz val="11"/>
        <rFont val="Noto Sans CJK SC"/>
        <charset val="134"/>
      </rPr>
      <t xml:space="preserve">무과금 주 </t>
    </r>
    <r>
      <rPr>
        <sz val="11"/>
        <rFont val="Arial"/>
        <charset val="1"/>
      </rPr>
      <t>3~5</t>
    </r>
    <r>
      <rPr>
        <sz val="11"/>
        <rFont val="Noto Sans CJK SC"/>
        <charset val="134"/>
      </rPr>
      <t>회</t>
    </r>
  </si>
  <si>
    <r>
      <rPr>
        <sz val="11"/>
        <rFont val="Noto Sans CJK SC"/>
        <charset val="134"/>
      </rPr>
      <t xml:space="preserve">스킨 </t>
    </r>
    <r>
      <rPr>
        <sz val="11"/>
        <rFont val="Arial"/>
        <charset val="1"/>
      </rPr>
      <t>1</t>
    </r>
    <r>
      <rPr>
        <sz val="11"/>
        <rFont val="Noto Sans CJK SC"/>
        <charset val="134"/>
      </rPr>
      <t>개</t>
    </r>
  </si>
  <si>
    <r>
      <rPr>
        <sz val="11"/>
        <rFont val="Noto Sans CJK SC"/>
        <charset val="134"/>
      </rPr>
      <t xml:space="preserve">부활 </t>
    </r>
    <r>
      <rPr>
        <sz val="11"/>
        <rFont val="Arial"/>
        <charset val="1"/>
      </rPr>
      <t>1</t>
    </r>
    <r>
      <rPr>
        <sz val="11"/>
        <rFont val="Noto Sans CJK SC"/>
        <charset val="134"/>
      </rPr>
      <t>회</t>
    </r>
  </si>
  <si>
    <r>
      <rPr>
        <sz val="11"/>
        <rFont val="Noto Sans CJK SC"/>
        <charset val="134"/>
      </rPr>
      <t xml:space="preserve">마을 꾸미기 </t>
    </r>
    <r>
      <rPr>
        <sz val="11"/>
        <rFont val="Arial"/>
        <charset val="1"/>
      </rPr>
      <t>1</t>
    </r>
    <r>
      <rPr>
        <sz val="11"/>
        <rFont val="Noto Sans CJK SC"/>
        <charset val="134"/>
      </rPr>
      <t>개</t>
    </r>
  </si>
  <si>
    <t>인앱 상품</t>
  </si>
  <si>
    <r>
      <rPr>
        <b/>
        <sz val="11"/>
        <color rgb="FFFFFFFF"/>
        <rFont val="Noto Sans CJK SC"/>
        <charset val="134"/>
      </rPr>
      <t>가격</t>
    </r>
    <r>
      <rPr>
        <b/>
        <sz val="11"/>
        <color rgb="FFFFFFFF"/>
        <rFont val="Arial"/>
        <charset val="1"/>
      </rPr>
      <t>(KRW)</t>
    </r>
  </si>
  <si>
    <t>별사탕</t>
  </si>
  <si>
    <r>
      <rPr>
        <b/>
        <sz val="11"/>
        <color rgb="FFFFFFFF"/>
        <rFont val="Noto Sans CJK SC"/>
        <charset val="134"/>
      </rPr>
      <t xml:space="preserve">별사탕 </t>
    </r>
    <r>
      <rPr>
        <b/>
        <sz val="11"/>
        <color rgb="FFFFFFFF"/>
        <rFont val="Arial"/>
        <charset val="1"/>
      </rPr>
      <t>100</t>
    </r>
    <r>
      <rPr>
        <b/>
        <sz val="11"/>
        <color rgb="FFFFFFFF"/>
        <rFont val="Noto Sans CJK SC"/>
        <charset val="134"/>
      </rPr>
      <t>개당 가격</t>
    </r>
    <r>
      <rPr>
        <b/>
        <sz val="11"/>
        <color rgb="FFFFFFFF"/>
        <rFont val="Arial"/>
        <charset val="1"/>
      </rPr>
      <t>(KRW)</t>
    </r>
  </si>
  <si>
    <t>무과금 주간 획득량 대비</t>
  </si>
  <si>
    <t>별사탕 소</t>
  </si>
  <si>
    <t>별사탕 중</t>
  </si>
  <si>
    <t>별사탕 대</t>
  </si>
  <si>
    <r>
      <rPr>
        <sz val="11"/>
        <rFont val="Noto Sans CJK SC"/>
        <charset val="134"/>
      </rPr>
      <t>광고 제거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보너스</t>
    </r>
    <r>
      <rPr>
        <sz val="11"/>
        <rFont val="Arial"/>
        <charset val="1"/>
      </rPr>
      <t>)</t>
    </r>
  </si>
  <si>
    <r>
      <rPr>
        <sz val="11"/>
        <rFont val="Noto Sans CJK SC"/>
        <charset val="134"/>
      </rPr>
      <t>스타터팩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보너스</t>
    </r>
    <r>
      <rPr>
        <sz val="11"/>
        <rFont val="Arial"/>
        <charset val="1"/>
      </rPr>
      <t>)</t>
    </r>
  </si>
  <si>
    <r>
      <rPr>
        <sz val="11"/>
        <rFont val="Noto Sans CJK SC"/>
        <charset val="134"/>
      </rPr>
      <t>월정액</t>
    </r>
    <r>
      <rPr>
        <sz val="11"/>
        <rFont val="Arial"/>
        <charset val="1"/>
      </rPr>
      <t>(30</t>
    </r>
    <r>
      <rPr>
        <sz val="11"/>
        <rFont val="Noto Sans CJK SC"/>
        <charset val="134"/>
      </rPr>
      <t>일</t>
    </r>
    <r>
      <rPr>
        <sz val="11"/>
        <rFont val="Arial"/>
        <charset val="1"/>
      </rPr>
      <t>)</t>
    </r>
  </si>
  <si>
    <r>
      <rPr>
        <i/>
        <sz val="11"/>
        <color rgb="FF666666"/>
        <rFont val="Noto Sans CJK SC"/>
        <charset val="134"/>
      </rPr>
      <t xml:space="preserve">※ 월정액은 매일 </t>
    </r>
    <r>
      <rPr>
        <i/>
        <sz val="11"/>
        <color rgb="FF666666"/>
        <rFont val="Arial"/>
        <charset val="1"/>
      </rPr>
      <t>50 × 30</t>
    </r>
    <r>
      <rPr>
        <i/>
        <sz val="11"/>
        <color rgb="FF666666"/>
        <rFont val="Noto Sans CJK SC"/>
        <charset val="134"/>
      </rPr>
      <t xml:space="preserve">일 </t>
    </r>
    <r>
      <rPr>
        <i/>
        <sz val="11"/>
        <color rgb="FF666666"/>
        <rFont val="Arial"/>
        <charset val="1"/>
      </rPr>
      <t>= 1,500</t>
    </r>
    <r>
      <rPr>
        <i/>
        <sz val="11"/>
        <color rgb="FF666666"/>
        <rFont val="Noto Sans CJK SC"/>
        <charset val="134"/>
      </rPr>
      <t>으로 환산</t>
    </r>
    <r>
      <rPr>
        <i/>
        <sz val="11"/>
        <color rgb="FF666666"/>
        <rFont val="Arial"/>
        <charset val="1"/>
      </rPr>
      <t xml:space="preserve">. </t>
    </r>
    <r>
      <rPr>
        <i/>
        <sz val="11"/>
        <color rgb="FF666666"/>
        <rFont val="Noto Sans CJK SC"/>
        <charset val="134"/>
      </rPr>
      <t>스타터팩</t>
    </r>
    <r>
      <rPr>
        <i/>
        <sz val="11"/>
        <color rgb="FF666666"/>
        <rFont val="Arial"/>
        <charset val="1"/>
      </rPr>
      <t>·</t>
    </r>
    <r>
      <rPr>
        <i/>
        <sz val="11"/>
        <color rgb="FF666666"/>
        <rFont val="Noto Sans CJK SC"/>
        <charset val="134"/>
      </rPr>
      <t xml:space="preserve">월정액의 </t>
    </r>
    <r>
      <rPr>
        <i/>
        <sz val="11"/>
        <color rgb="FF666666"/>
        <rFont val="Arial"/>
        <charset val="1"/>
      </rPr>
      <t>100</t>
    </r>
    <r>
      <rPr>
        <i/>
        <sz val="11"/>
        <color rgb="FF666666"/>
        <rFont val="Noto Sans CJK SC"/>
        <charset val="134"/>
      </rPr>
      <t>개당 가격이 가장 낮아야 첫 결제 전환에 유리</t>
    </r>
    <r>
      <rPr>
        <i/>
        <sz val="11"/>
        <color rgb="FF666666"/>
        <rFont val="Arial"/>
        <charset val="1"/>
      </rPr>
      <t>.</t>
    </r>
  </si>
  <si>
    <t>햄스터 마을 오프라인 생산</t>
  </si>
  <si>
    <r>
      <rPr>
        <i/>
        <sz val="11"/>
        <color rgb="FF666666"/>
        <rFont val="Noto Sans CJK SC"/>
        <charset val="134"/>
      </rPr>
      <t xml:space="preserve">시간당 생산 </t>
    </r>
    <r>
      <rPr>
        <i/>
        <sz val="11"/>
        <color rgb="FF666666"/>
        <rFont val="Arial"/>
        <charset val="1"/>
      </rPr>
      <t xml:space="preserve">= </t>
    </r>
    <r>
      <rPr>
        <i/>
        <sz val="11"/>
        <color rgb="FF666666"/>
        <rFont val="Noto Sans CJK SC"/>
        <charset val="134"/>
      </rPr>
      <t xml:space="preserve">최고기록 </t>
    </r>
    <r>
      <rPr>
        <i/>
        <sz val="11"/>
        <color rgb="FF666666"/>
        <rFont val="Arial"/>
        <charset val="1"/>
      </rPr>
      <t>1</t>
    </r>
    <r>
      <rPr>
        <i/>
        <sz val="11"/>
        <color rgb="FF666666"/>
        <rFont val="Noto Sans CJK SC"/>
        <charset val="134"/>
      </rPr>
      <t xml:space="preserve">판 씨앗 </t>
    </r>
    <r>
      <rPr>
        <i/>
        <sz val="11"/>
        <color rgb="FF666666"/>
        <rFont val="Arial"/>
        <charset val="1"/>
      </rPr>
      <t xml:space="preserve">× </t>
    </r>
    <r>
      <rPr>
        <i/>
        <sz val="11"/>
        <color rgb="FF666666"/>
        <rFont val="Noto Sans CJK SC"/>
        <charset val="134"/>
      </rPr>
      <t xml:space="preserve">기본비율 </t>
    </r>
    <r>
      <rPr>
        <i/>
        <sz val="11"/>
        <color rgb="FF666666"/>
        <rFont val="Arial"/>
        <charset val="1"/>
      </rPr>
      <t xml:space="preserve">× (1 + </t>
    </r>
    <r>
      <rPr>
        <i/>
        <sz val="11"/>
        <color rgb="FF666666"/>
        <rFont val="Noto Sans CJK SC"/>
        <charset val="134"/>
      </rPr>
      <t xml:space="preserve">친구보너스 </t>
    </r>
    <r>
      <rPr>
        <i/>
        <sz val="11"/>
        <color rgb="FF666666"/>
        <rFont val="Arial"/>
        <charset val="1"/>
      </rPr>
      <t xml:space="preserve">× </t>
    </r>
    <r>
      <rPr>
        <i/>
        <sz val="11"/>
        <color rgb="FF666666"/>
        <rFont val="Noto Sans CJK SC"/>
        <charset val="134"/>
      </rPr>
      <t>친구 수</t>
    </r>
    <r>
      <rPr>
        <i/>
        <sz val="11"/>
        <color rgb="FF666666"/>
        <rFont val="Arial"/>
        <charset val="1"/>
      </rPr>
      <t xml:space="preserve">) × (1 + </t>
    </r>
    <r>
      <rPr>
        <i/>
        <sz val="11"/>
        <color rgb="FF666666"/>
        <rFont val="Noto Sans CJK SC"/>
        <charset val="134"/>
      </rPr>
      <t xml:space="preserve">쳇바퀴보너스 </t>
    </r>
    <r>
      <rPr>
        <i/>
        <sz val="11"/>
        <color rgb="FF666666"/>
        <rFont val="Arial"/>
        <charset val="1"/>
      </rPr>
      <t xml:space="preserve">× </t>
    </r>
    <r>
      <rPr>
        <i/>
        <sz val="11"/>
        <color rgb="FF666666"/>
        <rFont val="Noto Sans CJK SC"/>
        <charset val="134"/>
      </rPr>
      <t xml:space="preserve">쳇바퀴 </t>
    </r>
    <r>
      <rPr>
        <i/>
        <sz val="11"/>
        <color rgb="FF666666"/>
        <rFont val="Arial"/>
        <charset val="1"/>
      </rPr>
      <t>Lv)</t>
    </r>
  </si>
  <si>
    <t>파라미터</t>
  </si>
  <si>
    <t>기본 비율</t>
  </si>
  <si>
    <t>village_base_ratio</t>
  </si>
  <si>
    <r>
      <rPr>
        <sz val="11"/>
        <rFont val="Noto Sans CJK SC"/>
        <charset val="134"/>
      </rPr>
      <t xml:space="preserve">친구 </t>
    </r>
    <r>
      <rPr>
        <sz val="11"/>
        <rFont val="Arial"/>
        <charset val="1"/>
      </rPr>
      <t>1</t>
    </r>
    <r>
      <rPr>
        <sz val="11"/>
        <rFont val="Noto Sans CJK SC"/>
        <charset val="134"/>
      </rPr>
      <t>마리당 보너스</t>
    </r>
  </si>
  <si>
    <t>village_friend_bonus</t>
  </si>
  <si>
    <r>
      <rPr>
        <sz val="11"/>
        <rFont val="Noto Sans CJK SC"/>
        <charset val="134"/>
      </rPr>
      <t xml:space="preserve">쳇바퀴 </t>
    </r>
    <r>
      <rPr>
        <sz val="11"/>
        <rFont val="Arial"/>
        <charset val="1"/>
      </rPr>
      <t>Lv</t>
    </r>
    <r>
      <rPr>
        <sz val="11"/>
        <rFont val="Noto Sans CJK SC"/>
        <charset val="134"/>
      </rPr>
      <t>당 보너스</t>
    </r>
  </si>
  <si>
    <t>village_wheel_bonus</t>
  </si>
  <si>
    <r>
      <rPr>
        <sz val="11"/>
        <rFont val="Noto Sans CJK SC"/>
        <charset val="134"/>
      </rPr>
      <t>기본 저장 한도</t>
    </r>
    <r>
      <rPr>
        <sz val="11"/>
        <rFont val="Arial"/>
        <charset val="1"/>
      </rPr>
      <t>(</t>
    </r>
    <r>
      <rPr>
        <sz val="11"/>
        <rFont val="Noto Sans CJK SC"/>
        <charset val="134"/>
      </rPr>
      <t>시간</t>
    </r>
    <r>
      <rPr>
        <sz val="11"/>
        <rFont val="Arial"/>
        <charset val="1"/>
      </rPr>
      <t>)</t>
    </r>
  </si>
  <si>
    <t>village_cap_hours</t>
  </si>
  <si>
    <t>광고 시청 배율</t>
  </si>
  <si>
    <t>village_ad_mult</t>
  </si>
  <si>
    <r>
      <rPr>
        <b/>
        <sz val="11"/>
        <color rgb="FFFFFFFF"/>
        <rFont val="Noto Sans CJK SC"/>
        <charset val="134"/>
      </rPr>
      <t>시점</t>
    </r>
    <r>
      <rPr>
        <b/>
        <sz val="11"/>
        <color rgb="FFFFFFFF"/>
        <rFont val="Arial"/>
        <charset val="1"/>
      </rPr>
      <t>(</t>
    </r>
    <r>
      <rPr>
        <b/>
        <sz val="11"/>
        <color rgb="FFFFFFFF"/>
        <rFont val="Noto Sans CJK SC"/>
        <charset val="134"/>
      </rPr>
      <t>구역 도달</t>
    </r>
    <r>
      <rPr>
        <b/>
        <sz val="11"/>
        <color rgb="FFFFFFFF"/>
        <rFont val="Arial"/>
        <charset val="1"/>
      </rPr>
      <t>)</t>
    </r>
  </si>
  <si>
    <r>
      <rPr>
        <b/>
        <sz val="11"/>
        <color rgb="FFFFFFFF"/>
        <rFont val="Noto Sans CJK SC"/>
        <charset val="134"/>
      </rPr>
      <t xml:space="preserve">최고기록 </t>
    </r>
    <r>
      <rPr>
        <b/>
        <sz val="11"/>
        <color rgb="FFFFFFFF"/>
        <rFont val="Arial"/>
        <charset val="1"/>
      </rPr>
      <t>1</t>
    </r>
    <r>
      <rPr>
        <b/>
        <sz val="11"/>
        <color rgb="FFFFFFFF"/>
        <rFont val="Noto Sans CJK SC"/>
        <charset val="134"/>
      </rPr>
      <t>판 씨앗</t>
    </r>
  </si>
  <si>
    <t>친구 수</t>
  </si>
  <si>
    <r>
      <rPr>
        <b/>
        <sz val="11"/>
        <color rgb="FFFFFFFF"/>
        <rFont val="Noto Sans CJK SC"/>
        <charset val="134"/>
      </rPr>
      <t xml:space="preserve">쳇바퀴 </t>
    </r>
    <r>
      <rPr>
        <b/>
        <sz val="11"/>
        <color rgb="FFFFFFFF"/>
        <rFont val="Arial"/>
        <charset val="1"/>
      </rPr>
      <t>Lv</t>
    </r>
  </si>
  <si>
    <t>시간당 생산</t>
  </si>
  <si>
    <r>
      <rPr>
        <b/>
        <sz val="11"/>
        <color rgb="FFFFFFFF"/>
        <rFont val="Arial"/>
        <charset val="1"/>
      </rPr>
      <t>8</t>
    </r>
    <r>
      <rPr>
        <b/>
        <sz val="11"/>
        <color rgb="FFFFFFFF"/>
        <rFont val="Noto Sans CJK SC"/>
        <charset val="134"/>
      </rPr>
      <t>시간 저장량</t>
    </r>
  </si>
  <si>
    <t>판 수 환산</t>
  </si>
  <si>
    <r>
      <rPr>
        <b/>
        <sz val="11"/>
        <color rgb="FFFFFFFF"/>
        <rFont val="Noto Sans CJK SC"/>
        <charset val="134"/>
      </rPr>
      <t xml:space="preserve">광고 </t>
    </r>
    <r>
      <rPr>
        <b/>
        <sz val="11"/>
        <color rgb="FFFFFFFF"/>
        <rFont val="Arial"/>
        <charset val="1"/>
      </rPr>
      <t>2</t>
    </r>
    <r>
      <rPr>
        <b/>
        <sz val="11"/>
        <color rgb="FFFFFFFF"/>
        <rFont val="Noto Sans CJK SC"/>
        <charset val="134"/>
      </rPr>
      <t>배 시 판 수 환산</t>
    </r>
  </si>
  <si>
    <t>공원</t>
  </si>
  <si>
    <t>도시 옥상</t>
  </si>
  <si>
    <t>구름 위</t>
  </si>
  <si>
    <t>우주</t>
  </si>
  <si>
    <t>달</t>
  </si>
  <si>
    <r>
      <rPr>
        <i/>
        <sz val="11"/>
        <color rgb="FF666666"/>
        <rFont val="Noto Sans CJK SC"/>
        <charset val="134"/>
      </rPr>
      <t xml:space="preserve">※ 최고기록 </t>
    </r>
    <r>
      <rPr>
        <i/>
        <sz val="11"/>
        <color rgb="FF666666"/>
        <rFont val="Arial"/>
        <charset val="1"/>
      </rPr>
      <t>1</t>
    </r>
    <r>
      <rPr>
        <i/>
        <sz val="11"/>
        <color rgb="FF666666"/>
        <rFont val="Noto Sans CJK SC"/>
        <charset val="134"/>
      </rPr>
      <t xml:space="preserve">판 씨앗 </t>
    </r>
    <r>
      <rPr>
        <i/>
        <sz val="11"/>
        <color rgb="FF666666"/>
        <rFont val="Arial"/>
        <charset val="1"/>
      </rPr>
      <t xml:space="preserve">= </t>
    </r>
    <r>
      <rPr>
        <i/>
        <sz val="11"/>
        <color rgb="FF666666"/>
        <rFont val="Noto Sans CJK SC"/>
        <charset val="134"/>
      </rPr>
      <t>「진행 시뮬」의 광고</t>
    </r>
    <r>
      <rPr>
        <i/>
        <sz val="11"/>
        <color rgb="FF666666"/>
        <rFont val="Arial"/>
        <charset val="1"/>
      </rPr>
      <t xml:space="preserve">X </t>
    </r>
    <r>
      <rPr>
        <i/>
        <sz val="11"/>
        <color rgb="FF666666"/>
        <rFont val="Noto Sans CJK SC"/>
        <charset val="134"/>
      </rPr>
      <t>시나리오에서 해당 구역 첫 도달 판의 씨앗</t>
    </r>
    <r>
      <rPr>
        <i/>
        <sz val="11"/>
        <color rgb="FF666666"/>
        <rFont val="Arial"/>
        <charset val="1"/>
      </rPr>
      <t>(</t>
    </r>
    <r>
      <rPr>
        <i/>
        <sz val="11"/>
        <color rgb="FF666666"/>
        <rFont val="Noto Sans CJK SC"/>
        <charset val="134"/>
      </rPr>
      <t>값</t>
    </r>
    <r>
      <rPr>
        <i/>
        <sz val="11"/>
        <color rgb="FF666666"/>
        <rFont val="Arial"/>
        <charset val="1"/>
      </rPr>
      <t xml:space="preserve">). </t>
    </r>
    <r>
      <rPr>
        <i/>
        <sz val="11"/>
        <color rgb="FF666666"/>
        <rFont val="Noto Sans CJK SC"/>
        <charset val="134"/>
      </rPr>
      <t>친구 수</t>
    </r>
    <r>
      <rPr>
        <i/>
        <sz val="11"/>
        <color rgb="FF666666"/>
        <rFont val="Arial"/>
        <charset val="1"/>
      </rPr>
      <t>·</t>
    </r>
    <r>
      <rPr>
        <i/>
        <sz val="11"/>
        <color rgb="FF666666"/>
        <rFont val="Noto Sans CJK SC"/>
        <charset val="134"/>
      </rPr>
      <t xml:space="preserve">쳇바퀴 </t>
    </r>
    <r>
      <rPr>
        <i/>
        <sz val="11"/>
        <color rgb="FF666666"/>
        <rFont val="Arial"/>
        <charset val="1"/>
      </rPr>
      <t>Lv</t>
    </r>
    <r>
      <rPr>
        <i/>
        <sz val="11"/>
        <color rgb="FF666666"/>
        <rFont val="Noto Sans CJK SC"/>
        <charset val="134"/>
      </rPr>
      <t>는 가정</t>
    </r>
    <r>
      <rPr>
        <i/>
        <sz val="11"/>
        <color rgb="FF666666"/>
        <rFont val="Arial"/>
        <charset val="1"/>
      </rPr>
      <t>.</t>
    </r>
  </si>
  <si>
    <r>
      <rPr>
        <i/>
        <sz val="11"/>
        <rFont val="Noto Sans CJK SC"/>
        <charset val="134"/>
      </rPr>
      <t>→ 목표</t>
    </r>
    <r>
      <rPr>
        <i/>
        <sz val="11"/>
        <rFont val="Arial"/>
        <charset val="1"/>
      </rPr>
      <t>: 8</t>
    </r>
    <r>
      <rPr>
        <i/>
        <sz val="11"/>
        <rFont val="Noto Sans CJK SC"/>
        <charset val="134"/>
      </rPr>
      <t xml:space="preserve">시간 저장량이 초반 약 </t>
    </r>
    <r>
      <rPr>
        <i/>
        <sz val="11"/>
        <rFont val="Arial"/>
        <charset val="1"/>
      </rPr>
      <t>2</t>
    </r>
    <r>
      <rPr>
        <i/>
        <sz val="11"/>
        <rFont val="Noto Sans CJK SC"/>
        <charset val="134"/>
      </rPr>
      <t xml:space="preserve">판 → 후반 약 </t>
    </r>
    <r>
      <rPr>
        <i/>
        <sz val="11"/>
        <rFont val="Arial"/>
        <charset val="1"/>
      </rPr>
      <t>5</t>
    </r>
    <r>
      <rPr>
        <i/>
        <sz val="11"/>
        <rFont val="Noto Sans CJK SC"/>
        <charset val="134"/>
      </rPr>
      <t>판 분량</t>
    </r>
    <r>
      <rPr>
        <i/>
        <sz val="11"/>
        <rFont val="Arial"/>
        <charset val="1"/>
      </rPr>
      <t xml:space="preserve">. </t>
    </r>
    <r>
      <rPr>
        <i/>
        <sz val="11"/>
        <rFont val="Noto Sans CJK SC"/>
        <charset val="134"/>
      </rPr>
      <t>너무 크면 플레이 동기가 줄고</t>
    </r>
    <r>
      <rPr>
        <i/>
        <sz val="11"/>
        <rFont val="Arial"/>
        <charset val="1"/>
      </rPr>
      <t xml:space="preserve">, </t>
    </r>
    <r>
      <rPr>
        <i/>
        <sz val="11"/>
        <rFont val="Noto Sans CJK SC"/>
        <charset val="134"/>
      </rPr>
      <t>너무 작으면 재방문 보상이 약함</t>
    </r>
    <r>
      <rPr>
        <i/>
        <sz val="11"/>
        <rFont val="Arial"/>
        <charset val="1"/>
      </rPr>
      <t>.</t>
    </r>
  </si>
  <si>
    <t>스테이지 — 목표 거리·별·월드 해금 (GDD §4 스테이지 구조)</t>
  </si>
  <si>
    <t>A~D·C32·C35~C39 = 입력값(GDD 표와 동일). E~H = tool/balance/pacing_sim.py 생성값(조작 없는 탐욕 구매 시뮬, 「진행 시뮬」과 같은 규칙). 1-1 은 PERFECT 발사로 첫 판 클리어 의도(Lv0 22.96m × 1.15 ≥ 25m).</t>
  </si>
  <si>
    <t>월드</t>
  </si>
  <si>
    <t>스테이지</t>
  </si>
  <si>
    <t>목표 거리(m)</t>
  </si>
  <si>
    <t>보스</t>
  </si>
  <si>
    <t>도달 판수(광고X, 누적)</t>
  </si>
  <si>
    <t>스테이지당 판수(광고X)</t>
  </si>
  <si>
    <t>도달 판수(광고100%, 누적)</t>
  </si>
  <si>
    <t>스테이지당 판수(광고100%)</t>
  </si>
  <si>
    <t>★★ 목표 배율</t>
  </si>
  <si>
    <t>stage_star2_ratio</t>
  </si>
  <si>
    <t>목표 거리의 130% 도달 시 별 2개</t>
  </si>
  <si>
    <t>월드 해금</t>
  </si>
  <si>
    <t>Remote Config 키</t>
  </si>
  <si>
    <t>필요 별 개수</t>
  </si>
  <si>
    <t>+ 이전 월드 마지막 스테이지 클리어</t>
  </si>
  <si>
    <t>world_unlock_stars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</si>
</sst>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10">
    <numFmt numFmtId="41" formatCode="_-* #,##0_-;\-* #,##0_-;_-* &quot;-&quot;_-;_-@_-"/>
    <numFmt numFmtId="42" formatCode="_-&quot;₩&quot;* #,##0_-;\-&quot;₩&quot;* #,##0_-;_-&quot;₩&quot;* &quot;-&quot;_-;_-@_-"/>
    <numFmt numFmtId="43" formatCode="_-* #,##0.00_-;\-* #,##0.00_-;_-* &quot;-&quot;??_-;_-@_-"/>
    <numFmt numFmtId="44" formatCode="_-&quot;₩&quot;* #,##0.00_-;\-&quot;₩&quot;* #,##0.00_-;_-&quot;₩&quot;* &quot;-&quot;??_-;_-@_-"/>
    <numFmt numFmtId="176" formatCode="0.0&quot;판&quot;"/>
    <numFmt numFmtId="177" formatCode="0.0&quot;주치&quot;"/>
    <numFmt numFmtId="178" formatCode="0.0%"/>
    <numFmt numFmtId="179" formatCode="\$0.000"/>
    <numFmt numFmtId="180" formatCode="0.0"/>
    <numFmt numFmtId="181" formatCode="0.00\x"/>
  </numFmts>
  <fonts count="37">
    <font>
      <sz val="11"/>
      <color theme="1"/>
      <name val="Calibri"/>
      <charset val="1"/>
    </font>
    <font>
      <b/>
      <sz val="14"/>
      <name val="Noto Sans CJK SC"/>
      <charset val="134"/>
    </font>
    <font>
      <i/>
      <sz val="11"/>
      <color rgb="FF666666"/>
      <name val="Noto Sans CJK SC"/>
      <charset val="134"/>
    </font>
    <font>
      <b/>
      <sz val="11"/>
      <color rgb="FFFFFFFF"/>
      <name val="Noto Sans CJK SC"/>
      <charset val="134"/>
    </font>
    <font>
      <b/>
      <sz val="11"/>
      <color rgb="FFFFFFFF"/>
      <name val="Arial"/>
      <charset val="1"/>
    </font>
    <font>
      <sz val="11"/>
      <name val="Noto Sans CJK SC"/>
      <charset val="134"/>
    </font>
    <font>
      <sz val="11"/>
      <color rgb="FF0000FF"/>
      <name val="Arial"/>
      <charset val="1"/>
    </font>
    <font>
      <sz val="11"/>
      <name val="Arial"/>
      <charset val="1"/>
    </font>
    <font>
      <i/>
      <sz val="11"/>
      <name val="Noto Sans CJK SC"/>
      <charset val="134"/>
    </font>
    <font>
      <b/>
      <sz val="11"/>
      <name val="Noto Sans CJK SC"/>
      <charset val="134"/>
    </font>
    <font>
      <sz val="11"/>
      <color theme="1"/>
      <name val="Arial"/>
      <charset val="1"/>
    </font>
    <font>
      <b/>
      <sz val="11"/>
      <name val="Arial"/>
      <charset val="1"/>
    </font>
    <font>
      <i/>
      <sz val="11"/>
      <color rgb="FF666666"/>
      <name val="Arial"/>
      <charset val="1"/>
    </font>
    <font>
      <sz val="11"/>
      <color rgb="FF008000"/>
      <name val="Arial"/>
      <charset val="1"/>
    </font>
    <font>
      <sz val="10"/>
      <name val="Arial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theme="1"/>
      <name val="Calibri"/>
      <charset val="134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i/>
      <sz val="11"/>
      <name val="Arial"/>
      <charset val="1"/>
    </font>
    <font>
      <b/>
      <sz val="14"/>
      <name val="Arial"/>
      <charset val="1"/>
    </font>
  </fonts>
  <fills count="35">
    <fill>
      <patternFill patternType="none"/>
    </fill>
    <fill>
      <patternFill patternType="gray125"/>
    </fill>
    <fill>
      <patternFill patternType="solid">
        <fgColor rgb="FF6B4A2F"/>
        <bgColor rgb="FF666666"/>
      </patternFill>
    </fill>
    <fill>
      <patternFill patternType="solid">
        <fgColor rgb="FFFFF2B3"/>
        <bgColor rgb="FFFFFF99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4" fillId="0" borderId="0" applyBorder="0" applyAlignment="0" applyProtection="0"/>
    <xf numFmtId="44" fontId="14" fillId="0" borderId="0" applyBorder="0" applyAlignment="0" applyProtection="0"/>
    <xf numFmtId="9" fontId="14" fillId="0" borderId="0" applyBorder="0" applyAlignment="0" applyProtection="0"/>
    <xf numFmtId="41" fontId="14" fillId="0" borderId="0" applyBorder="0" applyAlignment="0" applyProtection="0"/>
    <xf numFmtId="42" fontId="14" fillId="0" borderId="0" applyBorder="0" applyAlignment="0" applyProtection="0"/>
    <xf numFmtId="0" fontId="15" fillId="0" borderId="0" applyNumberFormat="0" applyFill="0" applyBorder="0" applyAlignment="0" applyProtection="0">
      <alignment vertical="center"/>
    </xf>
    <xf numFmtId="0" fontId="16" fillId="0" borderId="0" applyNumberFormat="0" applyFill="0" applyBorder="0" applyAlignment="0" applyProtection="0">
      <alignment vertical="center"/>
    </xf>
    <xf numFmtId="0" fontId="17" fillId="4" borderId="1" applyNumberFormat="0" applyFont="0" applyAlignment="0" applyProtection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21" fillId="0" borderId="2" applyNumberFormat="0" applyFill="0" applyAlignment="0" applyProtection="0">
      <alignment vertical="center"/>
    </xf>
    <xf numFmtId="0" fontId="22" fillId="0" borderId="2" applyNumberFormat="0" applyFill="0" applyAlignment="0" applyProtection="0">
      <alignment vertical="center"/>
    </xf>
    <xf numFmtId="0" fontId="23" fillId="0" borderId="3" applyNumberFormat="0" applyFill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5" borderId="4" applyNumberFormat="0" applyAlignment="0" applyProtection="0">
      <alignment vertical="center"/>
    </xf>
    <xf numFmtId="0" fontId="25" fillId="6" borderId="5" applyNumberFormat="0" applyAlignment="0" applyProtection="0">
      <alignment vertical="center"/>
    </xf>
    <xf numFmtId="0" fontId="26" fillId="6" borderId="4" applyNumberFormat="0" applyAlignment="0" applyProtection="0">
      <alignment vertical="center"/>
    </xf>
    <xf numFmtId="0" fontId="27" fillId="7" borderId="6" applyNumberFormat="0" applyAlignment="0" applyProtection="0">
      <alignment vertical="center"/>
    </xf>
    <xf numFmtId="0" fontId="28" fillId="0" borderId="7" applyNumberFormat="0" applyFill="0" applyAlignment="0" applyProtection="0">
      <alignment vertical="center"/>
    </xf>
    <xf numFmtId="0" fontId="29" fillId="0" borderId="8" applyNumberFormat="0" applyFill="0" applyAlignment="0" applyProtection="0">
      <alignment vertical="center"/>
    </xf>
    <xf numFmtId="0" fontId="30" fillId="8" borderId="0" applyNumberFormat="0" applyBorder="0" applyAlignment="0" applyProtection="0">
      <alignment vertical="center"/>
    </xf>
    <xf numFmtId="0" fontId="31" fillId="9" borderId="0" applyNumberFormat="0" applyBorder="0" applyAlignment="0" applyProtection="0">
      <alignment vertical="center"/>
    </xf>
    <xf numFmtId="0" fontId="32" fillId="10" borderId="0" applyNumberFormat="0" applyBorder="0" applyAlignment="0" applyProtection="0">
      <alignment vertical="center"/>
    </xf>
    <xf numFmtId="0" fontId="33" fillId="11" borderId="0" applyNumberFormat="0" applyBorder="0" applyAlignment="0" applyProtection="0">
      <alignment vertical="center"/>
    </xf>
    <xf numFmtId="0" fontId="34" fillId="12" borderId="0" applyNumberFormat="0" applyBorder="0" applyAlignment="0" applyProtection="0">
      <alignment vertical="center"/>
    </xf>
    <xf numFmtId="0" fontId="34" fillId="13" borderId="0" applyNumberFormat="0" applyBorder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3" fillId="15" borderId="0" applyNumberFormat="0" applyBorder="0" applyAlignment="0" applyProtection="0">
      <alignment vertical="center"/>
    </xf>
    <xf numFmtId="0" fontId="34" fillId="16" borderId="0" applyNumberFormat="0" applyBorder="0" applyAlignment="0" applyProtection="0">
      <alignment vertical="center"/>
    </xf>
    <xf numFmtId="0" fontId="34" fillId="17" borderId="0" applyNumberFormat="0" applyBorder="0" applyAlignment="0" applyProtection="0">
      <alignment vertical="center"/>
    </xf>
    <xf numFmtId="0" fontId="33" fillId="18" borderId="0" applyNumberFormat="0" applyBorder="0" applyAlignment="0" applyProtection="0">
      <alignment vertical="center"/>
    </xf>
    <xf numFmtId="0" fontId="33" fillId="19" borderId="0" applyNumberFormat="0" applyBorder="0" applyAlignment="0" applyProtection="0">
      <alignment vertical="center"/>
    </xf>
    <xf numFmtId="0" fontId="34" fillId="20" borderId="0" applyNumberFormat="0" applyBorder="0" applyAlignment="0" applyProtection="0">
      <alignment vertical="center"/>
    </xf>
    <xf numFmtId="0" fontId="34" fillId="21" borderId="0" applyNumberFormat="0" applyBorder="0" applyAlignment="0" applyProtection="0">
      <alignment vertical="center"/>
    </xf>
    <xf numFmtId="0" fontId="33" fillId="22" borderId="0" applyNumberFormat="0" applyBorder="0" applyAlignment="0" applyProtection="0">
      <alignment vertical="center"/>
    </xf>
    <xf numFmtId="0" fontId="33" fillId="23" borderId="0" applyNumberFormat="0" applyBorder="0" applyAlignment="0" applyProtection="0">
      <alignment vertical="center"/>
    </xf>
    <xf numFmtId="0" fontId="34" fillId="24" borderId="0" applyNumberFormat="0" applyBorder="0" applyAlignment="0" applyProtection="0">
      <alignment vertical="center"/>
    </xf>
    <xf numFmtId="0" fontId="34" fillId="25" borderId="0" applyNumberFormat="0" applyBorder="0" applyAlignment="0" applyProtection="0">
      <alignment vertical="center"/>
    </xf>
    <xf numFmtId="0" fontId="33" fillId="26" borderId="0" applyNumberFormat="0" applyBorder="0" applyAlignment="0" applyProtection="0">
      <alignment vertical="center"/>
    </xf>
    <xf numFmtId="0" fontId="33" fillId="27" borderId="0" applyNumberFormat="0" applyBorder="0" applyAlignment="0" applyProtection="0">
      <alignment vertical="center"/>
    </xf>
    <xf numFmtId="0" fontId="34" fillId="28" borderId="0" applyNumberFormat="0" applyBorder="0" applyAlignment="0" applyProtection="0">
      <alignment vertical="center"/>
    </xf>
    <xf numFmtId="0" fontId="34" fillId="29" borderId="0" applyNumberFormat="0" applyBorder="0" applyAlignment="0" applyProtection="0">
      <alignment vertical="center"/>
    </xf>
    <xf numFmtId="0" fontId="33" fillId="30" borderId="0" applyNumberFormat="0" applyBorder="0" applyAlignment="0" applyProtection="0">
      <alignment vertical="center"/>
    </xf>
    <xf numFmtId="0" fontId="33" fillId="31" borderId="0" applyNumberFormat="0" applyBorder="0" applyAlignment="0" applyProtection="0">
      <alignment vertical="center"/>
    </xf>
    <xf numFmtId="0" fontId="34" fillId="32" borderId="0" applyNumberFormat="0" applyBorder="0" applyAlignment="0" applyProtection="0">
      <alignment vertical="center"/>
    </xf>
    <xf numFmtId="0" fontId="34" fillId="33" borderId="0" applyNumberFormat="0" applyBorder="0" applyAlignment="0" applyProtection="0">
      <alignment vertical="center"/>
    </xf>
    <xf numFmtId="0" fontId="33" fillId="34" borderId="0" applyNumberFormat="0" applyBorder="0" applyAlignment="0" applyProtection="0">
      <alignment vertical="center"/>
    </xf>
  </cellStyleXfs>
  <cellXfs count="29">
    <xf numFmtId="0" fontId="0" fillId="0" borderId="0" xfId="0"/>
    <xf numFmtId="0" fontId="1" fillId="0" borderId="0" xfId="0" applyFont="1"/>
    <xf numFmtId="0" fontId="2" fillId="0" borderId="0" xfId="0" applyFont="1"/>
    <xf numFmtId="0" fontId="3" fillId="2" borderId="0" xfId="0" applyFont="1" applyFill="1" applyAlignment="1">
      <alignment horizontal="center" wrapText="1"/>
    </xf>
    <xf numFmtId="0" fontId="4" fillId="2" borderId="0" xfId="0" applyFont="1" applyFill="1" applyAlignment="1">
      <alignment horizontal="center" wrapText="1"/>
    </xf>
    <xf numFmtId="0" fontId="5" fillId="0" borderId="0" xfId="0" applyFont="1"/>
    <xf numFmtId="0" fontId="6" fillId="3" borderId="0" xfId="0" applyFont="1" applyFill="1"/>
    <xf numFmtId="0" fontId="7" fillId="0" borderId="0" xfId="0" applyFont="1"/>
    <xf numFmtId="3" fontId="7" fillId="0" borderId="0" xfId="0" applyNumberFormat="1" applyFont="1"/>
    <xf numFmtId="3" fontId="0" fillId="0" borderId="0" xfId="0" applyNumberFormat="1"/>
    <xf numFmtId="176" fontId="0" fillId="0" borderId="0" xfId="0" applyNumberFormat="1"/>
    <xf numFmtId="0" fontId="8" fillId="0" borderId="0" xfId="0" applyFont="1"/>
    <xf numFmtId="0" fontId="9" fillId="0" borderId="0" xfId="0" applyFont="1"/>
    <xf numFmtId="3" fontId="6" fillId="3" borderId="0" xfId="0" applyNumberFormat="1" applyFont="1" applyFill="1"/>
    <xf numFmtId="177" fontId="0" fillId="0" borderId="0" xfId="0" applyNumberFormat="1"/>
    <xf numFmtId="0" fontId="10" fillId="0" borderId="0" xfId="0" applyFont="1"/>
    <xf numFmtId="178" fontId="6" fillId="3" borderId="0" xfId="0" applyNumberFormat="1" applyFont="1" applyFill="1"/>
    <xf numFmtId="3" fontId="10" fillId="0" borderId="0" xfId="0" applyNumberFormat="1" applyFont="1"/>
    <xf numFmtId="3" fontId="11" fillId="0" borderId="0" xfId="0" applyNumberFormat="1" applyFont="1"/>
    <xf numFmtId="178" fontId="10" fillId="0" borderId="0" xfId="0" applyNumberFormat="1" applyFont="1"/>
    <xf numFmtId="179" fontId="10" fillId="0" borderId="0" xfId="0" applyNumberFormat="1" applyFont="1"/>
    <xf numFmtId="0" fontId="12" fillId="0" borderId="0" xfId="0" applyFont="1"/>
    <xf numFmtId="178" fontId="7" fillId="0" borderId="0" xfId="0" applyNumberFormat="1" applyFont="1"/>
    <xf numFmtId="0" fontId="3" fillId="2" borderId="0" xfId="0" applyFont="1" applyFill="1"/>
    <xf numFmtId="3" fontId="13" fillId="0" borderId="0" xfId="0" applyNumberFormat="1" applyFont="1"/>
    <xf numFmtId="180" fontId="13" fillId="0" borderId="0" xfId="0" applyNumberFormat="1" applyFont="1"/>
    <xf numFmtId="181" fontId="13" fillId="0" borderId="0" xfId="0" applyNumberFormat="1" applyFont="1"/>
    <xf numFmtId="2" fontId="6" fillId="3" borderId="0" xfId="0" applyNumberFormat="1" applyFont="1" applyFill="1"/>
    <xf numFmtId="0" fontId="6" fillId="0" borderId="0" xfId="0" applyFont="1"/>
  </cellXfs>
  <cellStyles count="49">
    <cellStyle name="일반" xfId="0" builtinId="0"/>
    <cellStyle name="천 단위 구분 기호" xfId="1" builtinId="3"/>
    <cellStyle name="통화" xfId="2" builtinId="4"/>
    <cellStyle name="백분율" xfId="3" builtinId="5"/>
    <cellStyle name="천 단위 구분 기호【0】" xfId="4" builtinId="6"/>
    <cellStyle name="통화【0】" xfId="5" builtinId="7"/>
    <cellStyle name="하이퍼링크" xfId="6" builtinId="8"/>
    <cellStyle name="방문한 하이퍼링크" xfId="7" builtinId="9"/>
    <cellStyle name="메모" xfId="8" builtinId="10"/>
    <cellStyle name="경고 텍스트" xfId="9" builtinId="11"/>
    <cellStyle name="제목" xfId="10" builtinId="15"/>
    <cellStyle name="설명 텍스트" xfId="11" builtinId="53"/>
    <cellStyle name="제목 1" xfId="12" builtinId="16"/>
    <cellStyle name="제목 2" xfId="13" builtinId="17"/>
    <cellStyle name="제목 3" xfId="14" builtinId="18"/>
    <cellStyle name="제목 4" xfId="15" builtinId="19"/>
    <cellStyle name="입력" xfId="16" builtinId="20"/>
    <cellStyle name="출력" xfId="17" builtinId="21"/>
    <cellStyle name="계산" xfId="18" builtinId="22"/>
    <cellStyle name="셀 확인" xfId="19" builtinId="23"/>
    <cellStyle name="링크된 셀" xfId="20" builtinId="24"/>
    <cellStyle name="요약" xfId="21" builtinId="25"/>
    <cellStyle name="좋음" xfId="22" builtinId="26"/>
    <cellStyle name="나쁨" xfId="23" builtinId="27"/>
    <cellStyle name="보통" xfId="24" builtinId="28"/>
    <cellStyle name="강조 1" xfId="25" builtinId="29"/>
    <cellStyle name="20% - 강조 1" xfId="26" builtinId="30"/>
    <cellStyle name="40% - 강조 1" xfId="27" builtinId="31"/>
    <cellStyle name="60% - 강조 1" xfId="28" builtinId="32"/>
    <cellStyle name="강조 2" xfId="29" builtinId="33"/>
    <cellStyle name="20% - 강조 2" xfId="30" builtinId="34"/>
    <cellStyle name="40% - 강조 2" xfId="31" builtinId="35"/>
    <cellStyle name="60% - 강조 2" xfId="32" builtinId="36"/>
    <cellStyle name="강조 3" xfId="33" builtinId="37"/>
    <cellStyle name="20% - 강조 3" xfId="34" builtinId="38"/>
    <cellStyle name="40% - 강조 3" xfId="35" builtinId="39"/>
    <cellStyle name="60% - 강조 3" xfId="36" builtinId="40"/>
    <cellStyle name="강조 4" xfId="37" builtinId="41"/>
    <cellStyle name="20% - 강조 4" xfId="38" builtinId="42"/>
    <cellStyle name="40% - 강조 4" xfId="39" builtinId="43"/>
    <cellStyle name="60% - 강조 4" xfId="40" builtinId="44"/>
    <cellStyle name="강조 5" xfId="41" builtinId="45"/>
    <cellStyle name="20% - 강조 5" xfId="42" builtinId="46"/>
    <cellStyle name="40% - 강조 5" xfId="43" builtinId="47"/>
    <cellStyle name="60% - 강조 5" xfId="44" builtinId="48"/>
    <cellStyle name="강조 6" xfId="45" builtinId="49"/>
    <cellStyle name="20% - 강조 6" xfId="46" builtinId="50"/>
    <cellStyle name="40% - 강조 6" xfId="47" builtinId="51"/>
    <cellStyle name="60% - 강조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666666"/>
      <rgbColor rgb="00800080"/>
      <rgbColor rgb="00008080"/>
      <rgbColor rgb="00C0C0C0"/>
      <rgbColor rgb="00878787"/>
      <rgbColor rgb="009999FF"/>
      <rgbColor rgb="00BE4B48"/>
      <rgbColor rgb="00FFF2B3"/>
      <rgbColor rgb="00CCFFFF"/>
      <rgbColor rgb="00660066"/>
      <rgbColor rgb="00FF8080"/>
      <rgbColor rgb="000066CC"/>
      <rgbColor rgb="00D9D9D9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4A7EBB"/>
      <rgbColor rgb="0046AAC4"/>
      <rgbColor rgb="0098B855"/>
      <rgbColor rgb="00FFCC00"/>
      <rgbColor rgb="00FF9900"/>
      <rgbColor rgb="00FF6600"/>
      <rgbColor rgb="007D5FA0"/>
      <rgbColor rgb="00969696"/>
      <rgbColor rgb="00003366"/>
      <rgbColor rgb="00339966"/>
      <rgbColor rgb="00003300"/>
      <rgbColor rgb="00333300"/>
      <rgbColor rgb="006B4A2F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9" Type="http://schemas.openxmlformats.org/officeDocument/2006/relationships/sharedStrings" Target="sharedStrings.xml"/><Relationship Id="rId8" Type="http://schemas.openxmlformats.org/officeDocument/2006/relationships/theme" Target="theme/theme1.xml"/><Relationship Id="rId7" Type="http://schemas.openxmlformats.org/officeDocument/2006/relationships/worksheet" Target="worksheets/sheet7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ko-KR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업그레이드 비용 곡선 (씨앗, 로그축)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업그레이드표!$B$3</c:f>
              <c:strCache>
                <c:ptCount val="1"/>
                <c:pt idx="0">
                  <c:v>고무줄 비용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업그레이드표!$A$4:$A$64</c:f>
              <c:numCache>
                <c:formatCode>General</c:formatCode>
                <c:ptCount val="61"/>
                <c:pt idx="0" c:formatCode="General">
                  <c:v>0</c:v>
                </c:pt>
                <c:pt idx="1" c:formatCode="General">
                  <c:v>1</c:v>
                </c:pt>
                <c:pt idx="2" c:formatCode="General">
                  <c:v>2</c:v>
                </c:pt>
                <c:pt idx="3" c:formatCode="General">
                  <c:v>3</c:v>
                </c:pt>
                <c:pt idx="4" c:formatCode="General">
                  <c:v>4</c:v>
                </c:pt>
                <c:pt idx="5" c:formatCode="General">
                  <c:v>5</c:v>
                </c:pt>
                <c:pt idx="6" c:formatCode="General">
                  <c:v>6</c:v>
                </c:pt>
                <c:pt idx="7" c:formatCode="General">
                  <c:v>7</c:v>
                </c:pt>
                <c:pt idx="8" c:formatCode="General">
                  <c:v>8</c:v>
                </c:pt>
                <c:pt idx="9" c:formatCode="General">
                  <c:v>9</c:v>
                </c:pt>
                <c:pt idx="10" c:formatCode="General">
                  <c:v>10</c:v>
                </c:pt>
                <c:pt idx="11" c:formatCode="General">
                  <c:v>11</c:v>
                </c:pt>
                <c:pt idx="12" c:formatCode="General">
                  <c:v>12</c:v>
                </c:pt>
                <c:pt idx="13" c:formatCode="General">
                  <c:v>13</c:v>
                </c:pt>
                <c:pt idx="14" c:formatCode="General">
                  <c:v>14</c:v>
                </c:pt>
                <c:pt idx="15" c:formatCode="General">
                  <c:v>15</c:v>
                </c:pt>
                <c:pt idx="16" c:formatCode="General">
                  <c:v>16</c:v>
                </c:pt>
                <c:pt idx="17" c:formatCode="General">
                  <c:v>17</c:v>
                </c:pt>
                <c:pt idx="18" c:formatCode="General">
                  <c:v>18</c:v>
                </c:pt>
                <c:pt idx="19" c:formatCode="General">
                  <c:v>19</c:v>
                </c:pt>
                <c:pt idx="20" c:formatCode="General">
                  <c:v>20</c:v>
                </c:pt>
                <c:pt idx="21" c:formatCode="General">
                  <c:v>21</c:v>
                </c:pt>
                <c:pt idx="22" c:formatCode="General">
                  <c:v>22</c:v>
                </c:pt>
                <c:pt idx="23" c:formatCode="General">
                  <c:v>23</c:v>
                </c:pt>
                <c:pt idx="24" c:formatCode="General">
                  <c:v>24</c:v>
                </c:pt>
                <c:pt idx="25" c:formatCode="General">
                  <c:v>25</c:v>
                </c:pt>
                <c:pt idx="26" c:formatCode="General">
                  <c:v>26</c:v>
                </c:pt>
                <c:pt idx="27" c:formatCode="General">
                  <c:v>27</c:v>
                </c:pt>
                <c:pt idx="28" c:formatCode="General">
                  <c:v>28</c:v>
                </c:pt>
                <c:pt idx="29" c:formatCode="General">
                  <c:v>29</c:v>
                </c:pt>
                <c:pt idx="30" c:formatCode="General">
                  <c:v>30</c:v>
                </c:pt>
                <c:pt idx="31" c:formatCode="General">
                  <c:v>31</c:v>
                </c:pt>
                <c:pt idx="32" c:formatCode="General">
                  <c:v>32</c:v>
                </c:pt>
                <c:pt idx="33" c:formatCode="General">
                  <c:v>33</c:v>
                </c:pt>
                <c:pt idx="34" c:formatCode="General">
                  <c:v>34</c:v>
                </c:pt>
                <c:pt idx="35" c:formatCode="General">
                  <c:v>35</c:v>
                </c:pt>
                <c:pt idx="36" c:formatCode="General">
                  <c:v>36</c:v>
                </c:pt>
                <c:pt idx="37" c:formatCode="General">
                  <c:v>37</c:v>
                </c:pt>
                <c:pt idx="38" c:formatCode="General">
                  <c:v>38</c:v>
                </c:pt>
                <c:pt idx="39" c:formatCode="General">
                  <c:v>39</c:v>
                </c:pt>
                <c:pt idx="40" c:formatCode="General">
                  <c:v>40</c:v>
                </c:pt>
                <c:pt idx="41" c:formatCode="General">
                  <c:v>41</c:v>
                </c:pt>
                <c:pt idx="42" c:formatCode="General">
                  <c:v>42</c:v>
                </c:pt>
                <c:pt idx="43" c:formatCode="General">
                  <c:v>43</c:v>
                </c:pt>
                <c:pt idx="44" c:formatCode="General">
                  <c:v>44</c:v>
                </c:pt>
                <c:pt idx="45" c:formatCode="General">
                  <c:v>45</c:v>
                </c:pt>
                <c:pt idx="46" c:formatCode="General">
                  <c:v>46</c:v>
                </c:pt>
                <c:pt idx="47" c:formatCode="General">
                  <c:v>47</c:v>
                </c:pt>
                <c:pt idx="48" c:formatCode="General">
                  <c:v>48</c:v>
                </c:pt>
                <c:pt idx="49" c:formatCode="General">
                  <c:v>49</c:v>
                </c:pt>
                <c:pt idx="50" c:formatCode="General">
                  <c:v>50</c:v>
                </c:pt>
                <c:pt idx="51" c:formatCode="General">
                  <c:v>51</c:v>
                </c:pt>
                <c:pt idx="52" c:formatCode="General">
                  <c:v>52</c:v>
                </c:pt>
                <c:pt idx="53" c:formatCode="General">
                  <c:v>53</c:v>
                </c:pt>
                <c:pt idx="54" c:formatCode="General">
                  <c:v>54</c:v>
                </c:pt>
                <c:pt idx="55" c:formatCode="General">
                  <c:v>55</c:v>
                </c:pt>
                <c:pt idx="56" c:formatCode="General">
                  <c:v>56</c:v>
                </c:pt>
                <c:pt idx="57" c:formatCode="General">
                  <c:v>57</c:v>
                </c:pt>
                <c:pt idx="58" c:formatCode="General">
                  <c:v>58</c:v>
                </c:pt>
                <c:pt idx="59" c:formatCode="General">
                  <c:v>59</c:v>
                </c:pt>
                <c:pt idx="60" c:formatCode="General">
                  <c:v>60</c:v>
                </c:pt>
              </c:numCache>
            </c:numRef>
          </c:cat>
          <c:val>
            <c:numRef>
              <c:f>업그레이드표!$B$4:$B$64</c:f>
              <c:numCache>
                <c:formatCode>#,##0</c:formatCode>
                <c:ptCount val="61"/>
                <c:pt idx="0">
                  <c:v>10</c:v>
                </c:pt>
                <c:pt idx="1">
                  <c:v>12</c:v>
                </c:pt>
                <c:pt idx="2">
                  <c:v>13</c:v>
                </c:pt>
                <c:pt idx="3">
                  <c:v>15</c:v>
                </c:pt>
                <c:pt idx="4">
                  <c:v>17</c:v>
                </c:pt>
                <c:pt idx="5">
                  <c:v>20</c:v>
                </c:pt>
                <c:pt idx="6">
                  <c:v>23</c:v>
                </c:pt>
                <c:pt idx="7">
                  <c:v>27</c:v>
                </c:pt>
                <c:pt idx="8">
                  <c:v>31</c:v>
                </c:pt>
                <c:pt idx="9">
                  <c:v>35</c:v>
                </c:pt>
                <c:pt idx="10">
                  <c:v>40</c:v>
                </c:pt>
                <c:pt idx="11">
                  <c:v>47</c:v>
                </c:pt>
                <c:pt idx="12">
                  <c:v>54</c:v>
                </c:pt>
                <c:pt idx="13">
                  <c:v>62</c:v>
                </c:pt>
                <c:pt idx="14">
                  <c:v>71</c:v>
                </c:pt>
                <c:pt idx="15">
                  <c:v>81</c:v>
                </c:pt>
                <c:pt idx="16">
                  <c:v>94</c:v>
                </c:pt>
                <c:pt idx="17">
                  <c:v>108</c:v>
                </c:pt>
                <c:pt idx="18">
                  <c:v>124</c:v>
                </c:pt>
                <c:pt idx="19">
                  <c:v>142</c:v>
                </c:pt>
                <c:pt idx="20">
                  <c:v>164</c:v>
                </c:pt>
                <c:pt idx="21">
                  <c:v>188</c:v>
                </c:pt>
                <c:pt idx="22">
                  <c:v>216</c:v>
                </c:pt>
                <c:pt idx="23">
                  <c:v>249</c:v>
                </c:pt>
                <c:pt idx="24">
                  <c:v>286</c:v>
                </c:pt>
                <c:pt idx="25">
                  <c:v>329</c:v>
                </c:pt>
                <c:pt idx="26">
                  <c:v>379</c:v>
                </c:pt>
                <c:pt idx="27">
                  <c:v>435</c:v>
                </c:pt>
                <c:pt idx="28">
                  <c:v>501</c:v>
                </c:pt>
                <c:pt idx="29">
                  <c:v>576</c:v>
                </c:pt>
                <c:pt idx="30">
                  <c:v>662</c:v>
                </c:pt>
                <c:pt idx="31">
                  <c:v>761</c:v>
                </c:pt>
                <c:pt idx="32">
                  <c:v>876</c:v>
                </c:pt>
                <c:pt idx="33">
                  <c:v>1007</c:v>
                </c:pt>
                <c:pt idx="34">
                  <c:v>1158</c:v>
                </c:pt>
                <c:pt idx="35">
                  <c:v>1332</c:v>
                </c:pt>
                <c:pt idx="36">
                  <c:v>1532</c:v>
                </c:pt>
                <c:pt idx="37">
                  <c:v>1761</c:v>
                </c:pt>
                <c:pt idx="38">
                  <c:v>2025</c:v>
                </c:pt>
                <c:pt idx="39">
                  <c:v>2329</c:v>
                </c:pt>
                <c:pt idx="40">
                  <c:v>2679</c:v>
                </c:pt>
                <c:pt idx="41">
                  <c:v>3080</c:v>
                </c:pt>
                <c:pt idx="42">
                  <c:v>3542</c:v>
                </c:pt>
                <c:pt idx="43">
                  <c:v>4074</c:v>
                </c:pt>
                <c:pt idx="44">
                  <c:v>4685</c:v>
                </c:pt>
                <c:pt idx="45">
                  <c:v>5388</c:v>
                </c:pt>
                <c:pt idx="46">
                  <c:v>6196</c:v>
                </c:pt>
                <c:pt idx="47">
                  <c:v>7125</c:v>
                </c:pt>
                <c:pt idx="48">
                  <c:v>8194</c:v>
                </c:pt>
                <c:pt idx="49">
                  <c:v>9423</c:v>
                </c:pt>
                <c:pt idx="50">
                  <c:v>10837</c:v>
                </c:pt>
                <c:pt idx="51">
                  <c:v>12462</c:v>
                </c:pt>
                <c:pt idx="52">
                  <c:v>14331</c:v>
                </c:pt>
                <c:pt idx="53">
                  <c:v>16481</c:v>
                </c:pt>
                <c:pt idx="54">
                  <c:v>18953</c:v>
                </c:pt>
                <c:pt idx="55">
                  <c:v>21796</c:v>
                </c:pt>
                <c:pt idx="56">
                  <c:v>25066</c:v>
                </c:pt>
                <c:pt idx="57">
                  <c:v>28826</c:v>
                </c:pt>
                <c:pt idx="58">
                  <c:v>33149</c:v>
                </c:pt>
                <c:pt idx="59">
                  <c:v>38122</c:v>
                </c:pt>
                <c:pt idx="60">
                  <c:v>43840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업그레이드표!$C$3</c:f>
              <c:strCache>
                <c:ptCount val="1"/>
                <c:pt idx="0">
                  <c:v>공기역학 비용</c:v>
                </c:pt>
              </c:strCache>
            </c:strRef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업그레이드표!$A$4:$A$64</c:f>
              <c:numCache>
                <c:formatCode>General</c:formatCode>
                <c:ptCount val="61"/>
                <c:pt idx="0" c:formatCode="General">
                  <c:v>0</c:v>
                </c:pt>
                <c:pt idx="1" c:formatCode="General">
                  <c:v>1</c:v>
                </c:pt>
                <c:pt idx="2" c:formatCode="General">
                  <c:v>2</c:v>
                </c:pt>
                <c:pt idx="3" c:formatCode="General">
                  <c:v>3</c:v>
                </c:pt>
                <c:pt idx="4" c:formatCode="General">
                  <c:v>4</c:v>
                </c:pt>
                <c:pt idx="5" c:formatCode="General">
                  <c:v>5</c:v>
                </c:pt>
                <c:pt idx="6" c:formatCode="General">
                  <c:v>6</c:v>
                </c:pt>
                <c:pt idx="7" c:formatCode="General">
                  <c:v>7</c:v>
                </c:pt>
                <c:pt idx="8" c:formatCode="General">
                  <c:v>8</c:v>
                </c:pt>
                <c:pt idx="9" c:formatCode="General">
                  <c:v>9</c:v>
                </c:pt>
                <c:pt idx="10" c:formatCode="General">
                  <c:v>10</c:v>
                </c:pt>
                <c:pt idx="11" c:formatCode="General">
                  <c:v>11</c:v>
                </c:pt>
                <c:pt idx="12" c:formatCode="General">
                  <c:v>12</c:v>
                </c:pt>
                <c:pt idx="13" c:formatCode="General">
                  <c:v>13</c:v>
                </c:pt>
                <c:pt idx="14" c:formatCode="General">
                  <c:v>14</c:v>
                </c:pt>
                <c:pt idx="15" c:formatCode="General">
                  <c:v>15</c:v>
                </c:pt>
                <c:pt idx="16" c:formatCode="General">
                  <c:v>16</c:v>
                </c:pt>
                <c:pt idx="17" c:formatCode="General">
                  <c:v>17</c:v>
                </c:pt>
                <c:pt idx="18" c:formatCode="General">
                  <c:v>18</c:v>
                </c:pt>
                <c:pt idx="19" c:formatCode="General">
                  <c:v>19</c:v>
                </c:pt>
                <c:pt idx="20" c:formatCode="General">
                  <c:v>20</c:v>
                </c:pt>
                <c:pt idx="21" c:formatCode="General">
                  <c:v>21</c:v>
                </c:pt>
                <c:pt idx="22" c:formatCode="General">
                  <c:v>22</c:v>
                </c:pt>
                <c:pt idx="23" c:formatCode="General">
                  <c:v>23</c:v>
                </c:pt>
                <c:pt idx="24" c:formatCode="General">
                  <c:v>24</c:v>
                </c:pt>
                <c:pt idx="25" c:formatCode="General">
                  <c:v>25</c:v>
                </c:pt>
                <c:pt idx="26" c:formatCode="General">
                  <c:v>26</c:v>
                </c:pt>
                <c:pt idx="27" c:formatCode="General">
                  <c:v>27</c:v>
                </c:pt>
                <c:pt idx="28" c:formatCode="General">
                  <c:v>28</c:v>
                </c:pt>
                <c:pt idx="29" c:formatCode="General">
                  <c:v>29</c:v>
                </c:pt>
                <c:pt idx="30" c:formatCode="General">
                  <c:v>30</c:v>
                </c:pt>
                <c:pt idx="31" c:formatCode="General">
                  <c:v>31</c:v>
                </c:pt>
                <c:pt idx="32" c:formatCode="General">
                  <c:v>32</c:v>
                </c:pt>
                <c:pt idx="33" c:formatCode="General">
                  <c:v>33</c:v>
                </c:pt>
                <c:pt idx="34" c:formatCode="General">
                  <c:v>34</c:v>
                </c:pt>
                <c:pt idx="35" c:formatCode="General">
                  <c:v>35</c:v>
                </c:pt>
                <c:pt idx="36" c:formatCode="General">
                  <c:v>36</c:v>
                </c:pt>
                <c:pt idx="37" c:formatCode="General">
                  <c:v>37</c:v>
                </c:pt>
                <c:pt idx="38" c:formatCode="General">
                  <c:v>38</c:v>
                </c:pt>
                <c:pt idx="39" c:formatCode="General">
                  <c:v>39</c:v>
                </c:pt>
                <c:pt idx="40" c:formatCode="General">
                  <c:v>40</c:v>
                </c:pt>
                <c:pt idx="41" c:formatCode="General">
                  <c:v>41</c:v>
                </c:pt>
                <c:pt idx="42" c:formatCode="General">
                  <c:v>42</c:v>
                </c:pt>
                <c:pt idx="43" c:formatCode="General">
                  <c:v>43</c:v>
                </c:pt>
                <c:pt idx="44" c:formatCode="General">
                  <c:v>44</c:v>
                </c:pt>
                <c:pt idx="45" c:formatCode="General">
                  <c:v>45</c:v>
                </c:pt>
                <c:pt idx="46" c:formatCode="General">
                  <c:v>46</c:v>
                </c:pt>
                <c:pt idx="47" c:formatCode="General">
                  <c:v>47</c:v>
                </c:pt>
                <c:pt idx="48" c:formatCode="General">
                  <c:v>48</c:v>
                </c:pt>
                <c:pt idx="49" c:formatCode="General">
                  <c:v>49</c:v>
                </c:pt>
                <c:pt idx="50" c:formatCode="General">
                  <c:v>50</c:v>
                </c:pt>
                <c:pt idx="51" c:formatCode="General">
                  <c:v>51</c:v>
                </c:pt>
                <c:pt idx="52" c:formatCode="General">
                  <c:v>52</c:v>
                </c:pt>
                <c:pt idx="53" c:formatCode="General">
                  <c:v>53</c:v>
                </c:pt>
                <c:pt idx="54" c:formatCode="General">
                  <c:v>54</c:v>
                </c:pt>
                <c:pt idx="55" c:formatCode="General">
                  <c:v>55</c:v>
                </c:pt>
                <c:pt idx="56" c:formatCode="General">
                  <c:v>56</c:v>
                </c:pt>
                <c:pt idx="57" c:formatCode="General">
                  <c:v>57</c:v>
                </c:pt>
                <c:pt idx="58" c:formatCode="General">
                  <c:v>58</c:v>
                </c:pt>
                <c:pt idx="59" c:formatCode="General">
                  <c:v>59</c:v>
                </c:pt>
                <c:pt idx="60" c:formatCode="General">
                  <c:v>60</c:v>
                </c:pt>
              </c:numCache>
            </c:numRef>
          </c:cat>
          <c:val>
            <c:numRef>
              <c:f>업그레이드표!$C$4:$C$64</c:f>
              <c:numCache>
                <c:formatCode>#,##0</c:formatCode>
                <c:ptCount val="61"/>
                <c:pt idx="0">
                  <c:v>15</c:v>
                </c:pt>
                <c:pt idx="1">
                  <c:v>18</c:v>
                </c:pt>
                <c:pt idx="2">
                  <c:v>21</c:v>
                </c:pt>
                <c:pt idx="3">
                  <c:v>24</c:v>
                </c:pt>
                <c:pt idx="4">
                  <c:v>28</c:v>
                </c:pt>
                <c:pt idx="5">
                  <c:v>33</c:v>
                </c:pt>
                <c:pt idx="6">
                  <c:v>38</c:v>
                </c:pt>
                <c:pt idx="7">
                  <c:v>45</c:v>
                </c:pt>
                <c:pt idx="8">
                  <c:v>53</c:v>
                </c:pt>
                <c:pt idx="9">
                  <c:v>62</c:v>
                </c:pt>
                <c:pt idx="10">
                  <c:v>72</c:v>
                </c:pt>
                <c:pt idx="11">
                  <c:v>84</c:v>
                </c:pt>
                <c:pt idx="12">
                  <c:v>99</c:v>
                </c:pt>
                <c:pt idx="13">
                  <c:v>115</c:v>
                </c:pt>
                <c:pt idx="14">
                  <c:v>135</c:v>
                </c:pt>
                <c:pt idx="15">
                  <c:v>158</c:v>
                </c:pt>
                <c:pt idx="16">
                  <c:v>185</c:v>
                </c:pt>
                <c:pt idx="17">
                  <c:v>216</c:v>
                </c:pt>
                <c:pt idx="18">
                  <c:v>253</c:v>
                </c:pt>
                <c:pt idx="19">
                  <c:v>296</c:v>
                </c:pt>
                <c:pt idx="20">
                  <c:v>347</c:v>
                </c:pt>
                <c:pt idx="21">
                  <c:v>406</c:v>
                </c:pt>
                <c:pt idx="22">
                  <c:v>474</c:v>
                </c:pt>
                <c:pt idx="23">
                  <c:v>555</c:v>
                </c:pt>
                <c:pt idx="24">
                  <c:v>649</c:v>
                </c:pt>
                <c:pt idx="25">
                  <c:v>760</c:v>
                </c:pt>
                <c:pt idx="26">
                  <c:v>889</c:v>
                </c:pt>
                <c:pt idx="27">
                  <c:v>1040</c:v>
                </c:pt>
                <c:pt idx="28">
                  <c:v>1217</c:v>
                </c:pt>
                <c:pt idx="29">
                  <c:v>1424</c:v>
                </c:pt>
                <c:pt idx="30">
                  <c:v>1666</c:v>
                </c:pt>
                <c:pt idx="31">
                  <c:v>1949</c:v>
                </c:pt>
                <c:pt idx="32">
                  <c:v>2281</c:v>
                </c:pt>
                <c:pt idx="33">
                  <c:v>2668</c:v>
                </c:pt>
                <c:pt idx="34">
                  <c:v>3122</c:v>
                </c:pt>
                <c:pt idx="35">
                  <c:v>3653</c:v>
                </c:pt>
                <c:pt idx="36">
                  <c:v>4273</c:v>
                </c:pt>
                <c:pt idx="37">
                  <c:v>5000</c:v>
                </c:pt>
                <c:pt idx="38">
                  <c:v>5850</c:v>
                </c:pt>
                <c:pt idx="39">
                  <c:v>6844</c:v>
                </c:pt>
                <c:pt idx="40">
                  <c:v>8008</c:v>
                </c:pt>
                <c:pt idx="41">
                  <c:v>9369</c:v>
                </c:pt>
                <c:pt idx="42">
                  <c:v>10962</c:v>
                </c:pt>
                <c:pt idx="43">
                  <c:v>12826</c:v>
                </c:pt>
                <c:pt idx="44">
                  <c:v>15006</c:v>
                </c:pt>
                <c:pt idx="45">
                  <c:v>17557</c:v>
                </c:pt>
                <c:pt idx="46">
                  <c:v>20542</c:v>
                </c:pt>
                <c:pt idx="47">
                  <c:v>24034</c:v>
                </c:pt>
                <c:pt idx="48">
                  <c:v>28120</c:v>
                </c:pt>
                <c:pt idx="49">
                  <c:v>32900</c:v>
                </c:pt>
                <c:pt idx="50">
                  <c:v>38493</c:v>
                </c:pt>
                <c:pt idx="51">
                  <c:v>45037</c:v>
                </c:pt>
                <c:pt idx="52">
                  <c:v>52693</c:v>
                </c:pt>
                <c:pt idx="53">
                  <c:v>61651</c:v>
                </c:pt>
                <c:pt idx="54">
                  <c:v>72132</c:v>
                </c:pt>
                <c:pt idx="55">
                  <c:v>84394</c:v>
                </c:pt>
                <c:pt idx="56">
                  <c:v>98741</c:v>
                </c:pt>
                <c:pt idx="57">
                  <c:v>115528</c:v>
                </c:pt>
                <c:pt idx="58">
                  <c:v>135167</c:v>
                </c:pt>
                <c:pt idx="59">
                  <c:v>158146</c:v>
                </c:pt>
                <c:pt idx="60">
                  <c:v>185030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업그레이드표!$D$3</c:f>
              <c:strCache>
                <c:ptCount val="1"/>
                <c:pt idx="0">
                  <c:v>부스터 비용</c:v>
                </c:pt>
              </c:strCache>
            </c:strRef>
          </c:tx>
          <c:spPr>
            <a:ln w="2844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업그레이드표!$A$4:$A$64</c:f>
              <c:numCache>
                <c:formatCode>General</c:formatCode>
                <c:ptCount val="61"/>
                <c:pt idx="0" c:formatCode="General">
                  <c:v>0</c:v>
                </c:pt>
                <c:pt idx="1" c:formatCode="General">
                  <c:v>1</c:v>
                </c:pt>
                <c:pt idx="2" c:formatCode="General">
                  <c:v>2</c:v>
                </c:pt>
                <c:pt idx="3" c:formatCode="General">
                  <c:v>3</c:v>
                </c:pt>
                <c:pt idx="4" c:formatCode="General">
                  <c:v>4</c:v>
                </c:pt>
                <c:pt idx="5" c:formatCode="General">
                  <c:v>5</c:v>
                </c:pt>
                <c:pt idx="6" c:formatCode="General">
                  <c:v>6</c:v>
                </c:pt>
                <c:pt idx="7" c:formatCode="General">
                  <c:v>7</c:v>
                </c:pt>
                <c:pt idx="8" c:formatCode="General">
                  <c:v>8</c:v>
                </c:pt>
                <c:pt idx="9" c:formatCode="General">
                  <c:v>9</c:v>
                </c:pt>
                <c:pt idx="10" c:formatCode="General">
                  <c:v>10</c:v>
                </c:pt>
                <c:pt idx="11" c:formatCode="General">
                  <c:v>11</c:v>
                </c:pt>
                <c:pt idx="12" c:formatCode="General">
                  <c:v>12</c:v>
                </c:pt>
                <c:pt idx="13" c:formatCode="General">
                  <c:v>13</c:v>
                </c:pt>
                <c:pt idx="14" c:formatCode="General">
                  <c:v>14</c:v>
                </c:pt>
                <c:pt idx="15" c:formatCode="General">
                  <c:v>15</c:v>
                </c:pt>
                <c:pt idx="16" c:formatCode="General">
                  <c:v>16</c:v>
                </c:pt>
                <c:pt idx="17" c:formatCode="General">
                  <c:v>17</c:v>
                </c:pt>
                <c:pt idx="18" c:formatCode="General">
                  <c:v>18</c:v>
                </c:pt>
                <c:pt idx="19" c:formatCode="General">
                  <c:v>19</c:v>
                </c:pt>
                <c:pt idx="20" c:formatCode="General">
                  <c:v>20</c:v>
                </c:pt>
                <c:pt idx="21" c:formatCode="General">
                  <c:v>21</c:v>
                </c:pt>
                <c:pt idx="22" c:formatCode="General">
                  <c:v>22</c:v>
                </c:pt>
                <c:pt idx="23" c:formatCode="General">
                  <c:v>23</c:v>
                </c:pt>
                <c:pt idx="24" c:formatCode="General">
                  <c:v>24</c:v>
                </c:pt>
                <c:pt idx="25" c:formatCode="General">
                  <c:v>25</c:v>
                </c:pt>
                <c:pt idx="26" c:formatCode="General">
                  <c:v>26</c:v>
                </c:pt>
                <c:pt idx="27" c:formatCode="General">
                  <c:v>27</c:v>
                </c:pt>
                <c:pt idx="28" c:formatCode="General">
                  <c:v>28</c:v>
                </c:pt>
                <c:pt idx="29" c:formatCode="General">
                  <c:v>29</c:v>
                </c:pt>
                <c:pt idx="30" c:formatCode="General">
                  <c:v>30</c:v>
                </c:pt>
                <c:pt idx="31" c:formatCode="General">
                  <c:v>31</c:v>
                </c:pt>
                <c:pt idx="32" c:formatCode="General">
                  <c:v>32</c:v>
                </c:pt>
                <c:pt idx="33" c:formatCode="General">
                  <c:v>33</c:v>
                </c:pt>
                <c:pt idx="34" c:formatCode="General">
                  <c:v>34</c:v>
                </c:pt>
                <c:pt idx="35" c:formatCode="General">
                  <c:v>35</c:v>
                </c:pt>
                <c:pt idx="36" c:formatCode="General">
                  <c:v>36</c:v>
                </c:pt>
                <c:pt idx="37" c:formatCode="General">
                  <c:v>37</c:v>
                </c:pt>
                <c:pt idx="38" c:formatCode="General">
                  <c:v>38</c:v>
                </c:pt>
                <c:pt idx="39" c:formatCode="General">
                  <c:v>39</c:v>
                </c:pt>
                <c:pt idx="40" c:formatCode="General">
                  <c:v>40</c:v>
                </c:pt>
                <c:pt idx="41" c:formatCode="General">
                  <c:v>41</c:v>
                </c:pt>
                <c:pt idx="42" c:formatCode="General">
                  <c:v>42</c:v>
                </c:pt>
                <c:pt idx="43" c:formatCode="General">
                  <c:v>43</c:v>
                </c:pt>
                <c:pt idx="44" c:formatCode="General">
                  <c:v>44</c:v>
                </c:pt>
                <c:pt idx="45" c:formatCode="General">
                  <c:v>45</c:v>
                </c:pt>
                <c:pt idx="46" c:formatCode="General">
                  <c:v>46</c:v>
                </c:pt>
                <c:pt idx="47" c:formatCode="General">
                  <c:v>47</c:v>
                </c:pt>
                <c:pt idx="48" c:formatCode="General">
                  <c:v>48</c:v>
                </c:pt>
                <c:pt idx="49" c:formatCode="General">
                  <c:v>49</c:v>
                </c:pt>
                <c:pt idx="50" c:formatCode="General">
                  <c:v>50</c:v>
                </c:pt>
                <c:pt idx="51" c:formatCode="General">
                  <c:v>51</c:v>
                </c:pt>
                <c:pt idx="52" c:formatCode="General">
                  <c:v>52</c:v>
                </c:pt>
                <c:pt idx="53" c:formatCode="General">
                  <c:v>53</c:v>
                </c:pt>
                <c:pt idx="54" c:formatCode="General">
                  <c:v>54</c:v>
                </c:pt>
                <c:pt idx="55" c:formatCode="General">
                  <c:v>55</c:v>
                </c:pt>
                <c:pt idx="56" c:formatCode="General">
                  <c:v>56</c:v>
                </c:pt>
                <c:pt idx="57" c:formatCode="General">
                  <c:v>57</c:v>
                </c:pt>
                <c:pt idx="58" c:formatCode="General">
                  <c:v>58</c:v>
                </c:pt>
                <c:pt idx="59" c:formatCode="General">
                  <c:v>59</c:v>
                </c:pt>
                <c:pt idx="60" c:formatCode="General">
                  <c:v>60</c:v>
                </c:pt>
              </c:numCache>
            </c:numRef>
          </c:cat>
          <c:val>
            <c:numRef>
              <c:f>업그레이드표!$D$4:$D$64</c:f>
              <c:numCache>
                <c:formatCode>#,##0</c:formatCode>
                <c:ptCount val="61"/>
                <c:pt idx="0">
                  <c:v>25</c:v>
                </c:pt>
                <c:pt idx="1">
                  <c:v>30</c:v>
                </c:pt>
                <c:pt idx="2">
                  <c:v>36</c:v>
                </c:pt>
                <c:pt idx="3">
                  <c:v>43</c:v>
                </c:pt>
                <c:pt idx="4">
                  <c:v>52</c:v>
                </c:pt>
                <c:pt idx="5">
                  <c:v>62</c:v>
                </c:pt>
                <c:pt idx="6">
                  <c:v>75</c:v>
                </c:pt>
                <c:pt idx="7">
                  <c:v>90</c:v>
                </c:pt>
                <c:pt idx="8">
                  <c:v>107</c:v>
                </c:pt>
                <c:pt idx="9">
                  <c:v>129</c:v>
                </c:pt>
                <c:pt idx="10">
                  <c:v>155</c:v>
                </c:pt>
                <c:pt idx="11">
                  <c:v>186</c:v>
                </c:pt>
                <c:pt idx="12">
                  <c:v>223</c:v>
                </c:pt>
                <c:pt idx="13">
                  <c:v>267</c:v>
                </c:pt>
                <c:pt idx="14">
                  <c:v>321</c:v>
                </c:pt>
                <c:pt idx="15">
                  <c:v>385</c:v>
                </c:pt>
                <c:pt idx="16">
                  <c:v>462</c:v>
                </c:pt>
                <c:pt idx="17">
                  <c:v>555</c:v>
                </c:pt>
                <c:pt idx="18">
                  <c:v>666</c:v>
                </c:pt>
                <c:pt idx="19">
                  <c:v>799</c:v>
                </c:pt>
                <c:pt idx="20">
                  <c:v>958</c:v>
                </c:pt>
                <c:pt idx="21">
                  <c:v>1150</c:v>
                </c:pt>
                <c:pt idx="22">
                  <c:v>1380</c:v>
                </c:pt>
                <c:pt idx="23">
                  <c:v>1656</c:v>
                </c:pt>
                <c:pt idx="24">
                  <c:v>1987</c:v>
                </c:pt>
                <c:pt idx="25">
                  <c:v>2385</c:v>
                </c:pt>
                <c:pt idx="26">
                  <c:v>2862</c:v>
                </c:pt>
                <c:pt idx="27">
                  <c:v>3434</c:v>
                </c:pt>
                <c:pt idx="28">
                  <c:v>4121</c:v>
                </c:pt>
                <c:pt idx="29">
                  <c:v>4945</c:v>
                </c:pt>
                <c:pt idx="30">
                  <c:v>5934</c:v>
                </c:pt>
                <c:pt idx="31">
                  <c:v>7121</c:v>
                </c:pt>
                <c:pt idx="32">
                  <c:v>8546</c:v>
                </c:pt>
                <c:pt idx="33">
                  <c:v>10255</c:v>
                </c:pt>
                <c:pt idx="34">
                  <c:v>12306</c:v>
                </c:pt>
                <c:pt idx="35">
                  <c:v>14767</c:v>
                </c:pt>
                <c:pt idx="36">
                  <c:v>17720</c:v>
                </c:pt>
                <c:pt idx="37">
                  <c:v>21264</c:v>
                </c:pt>
                <c:pt idx="38">
                  <c:v>25517</c:v>
                </c:pt>
                <c:pt idx="39">
                  <c:v>30620</c:v>
                </c:pt>
                <c:pt idx="40">
                  <c:v>36744</c:v>
                </c:pt>
                <c:pt idx="41">
                  <c:v>44093</c:v>
                </c:pt>
                <c:pt idx="42">
                  <c:v>52912</c:v>
                </c:pt>
                <c:pt idx="43">
                  <c:v>63494</c:v>
                </c:pt>
                <c:pt idx="44">
                  <c:v>76193</c:v>
                </c:pt>
                <c:pt idx="45">
                  <c:v>91432</c:v>
                </c:pt>
                <c:pt idx="46">
                  <c:v>109718</c:v>
                </c:pt>
                <c:pt idx="47">
                  <c:v>131661</c:v>
                </c:pt>
                <c:pt idx="48">
                  <c:v>157994</c:v>
                </c:pt>
                <c:pt idx="49">
                  <c:v>189592</c:v>
                </c:pt>
                <c:pt idx="50">
                  <c:v>227511</c:v>
                </c:pt>
                <c:pt idx="51">
                  <c:v>273013</c:v>
                </c:pt>
                <c:pt idx="52">
                  <c:v>327616</c:v>
                </c:pt>
                <c:pt idx="53">
                  <c:v>393139</c:v>
                </c:pt>
                <c:pt idx="54">
                  <c:v>471767</c:v>
                </c:pt>
                <c:pt idx="55">
                  <c:v>566120</c:v>
                </c:pt>
                <c:pt idx="56">
                  <c:v>679344</c:v>
                </c:pt>
                <c:pt idx="57">
                  <c:v>815213</c:v>
                </c:pt>
                <c:pt idx="58">
                  <c:v>978255</c:v>
                </c:pt>
                <c:pt idx="59">
                  <c:v>1173907</c:v>
                </c:pt>
                <c:pt idx="60">
                  <c:v>1408688</c:v>
                </c:pt>
              </c:numCache>
            </c:numRef>
          </c:val>
          <c:smooth val="1"/>
        </c:ser>
        <c:ser>
          <c:idx val="3"/>
          <c:order val="3"/>
          <c:tx>
            <c:strRef>
              <c:f>업그레이드표!$E$3</c:f>
              <c:strCache>
                <c:ptCount val="1"/>
                <c:pt idx="0">
                  <c:v>바운스 비용</c:v>
                </c:pt>
              </c:strCache>
            </c:strRef>
          </c:tx>
          <c:spPr>
            <a:ln w="28440" cap="rnd" cmpd="sng" algn="ctr">
              <a:solidFill>
                <a:srgbClr val="7D5FA0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업그레이드표!$A$4:$A$64</c:f>
              <c:numCache>
                <c:formatCode>General</c:formatCode>
                <c:ptCount val="61"/>
                <c:pt idx="0" c:formatCode="General">
                  <c:v>0</c:v>
                </c:pt>
                <c:pt idx="1" c:formatCode="General">
                  <c:v>1</c:v>
                </c:pt>
                <c:pt idx="2" c:formatCode="General">
                  <c:v>2</c:v>
                </c:pt>
                <c:pt idx="3" c:formatCode="General">
                  <c:v>3</c:v>
                </c:pt>
                <c:pt idx="4" c:formatCode="General">
                  <c:v>4</c:v>
                </c:pt>
                <c:pt idx="5" c:formatCode="General">
                  <c:v>5</c:v>
                </c:pt>
                <c:pt idx="6" c:formatCode="General">
                  <c:v>6</c:v>
                </c:pt>
                <c:pt idx="7" c:formatCode="General">
                  <c:v>7</c:v>
                </c:pt>
                <c:pt idx="8" c:formatCode="General">
                  <c:v>8</c:v>
                </c:pt>
                <c:pt idx="9" c:formatCode="General">
                  <c:v>9</c:v>
                </c:pt>
                <c:pt idx="10" c:formatCode="General">
                  <c:v>10</c:v>
                </c:pt>
                <c:pt idx="11" c:formatCode="General">
                  <c:v>11</c:v>
                </c:pt>
                <c:pt idx="12" c:formatCode="General">
                  <c:v>12</c:v>
                </c:pt>
                <c:pt idx="13" c:formatCode="General">
                  <c:v>13</c:v>
                </c:pt>
                <c:pt idx="14" c:formatCode="General">
                  <c:v>14</c:v>
                </c:pt>
                <c:pt idx="15" c:formatCode="General">
                  <c:v>15</c:v>
                </c:pt>
                <c:pt idx="16" c:formatCode="General">
                  <c:v>16</c:v>
                </c:pt>
                <c:pt idx="17" c:formatCode="General">
                  <c:v>17</c:v>
                </c:pt>
                <c:pt idx="18" c:formatCode="General">
                  <c:v>18</c:v>
                </c:pt>
                <c:pt idx="19" c:formatCode="General">
                  <c:v>19</c:v>
                </c:pt>
                <c:pt idx="20" c:formatCode="General">
                  <c:v>20</c:v>
                </c:pt>
                <c:pt idx="21" c:formatCode="General">
                  <c:v>21</c:v>
                </c:pt>
                <c:pt idx="22" c:formatCode="General">
                  <c:v>22</c:v>
                </c:pt>
                <c:pt idx="23" c:formatCode="General">
                  <c:v>23</c:v>
                </c:pt>
                <c:pt idx="24" c:formatCode="General">
                  <c:v>24</c:v>
                </c:pt>
                <c:pt idx="25" c:formatCode="General">
                  <c:v>25</c:v>
                </c:pt>
                <c:pt idx="26" c:formatCode="General">
                  <c:v>26</c:v>
                </c:pt>
                <c:pt idx="27" c:formatCode="General">
                  <c:v>27</c:v>
                </c:pt>
                <c:pt idx="28" c:formatCode="General">
                  <c:v>28</c:v>
                </c:pt>
                <c:pt idx="29" c:formatCode="General">
                  <c:v>29</c:v>
                </c:pt>
                <c:pt idx="30" c:formatCode="General">
                  <c:v>30</c:v>
                </c:pt>
                <c:pt idx="31" c:formatCode="General">
                  <c:v>31</c:v>
                </c:pt>
                <c:pt idx="32" c:formatCode="General">
                  <c:v>32</c:v>
                </c:pt>
                <c:pt idx="33" c:formatCode="General">
                  <c:v>33</c:v>
                </c:pt>
                <c:pt idx="34" c:formatCode="General">
                  <c:v>34</c:v>
                </c:pt>
                <c:pt idx="35" c:formatCode="General">
                  <c:v>35</c:v>
                </c:pt>
                <c:pt idx="36" c:formatCode="General">
                  <c:v>36</c:v>
                </c:pt>
                <c:pt idx="37" c:formatCode="General">
                  <c:v>37</c:v>
                </c:pt>
                <c:pt idx="38" c:formatCode="General">
                  <c:v>38</c:v>
                </c:pt>
                <c:pt idx="39" c:formatCode="General">
                  <c:v>39</c:v>
                </c:pt>
                <c:pt idx="40" c:formatCode="General">
                  <c:v>40</c:v>
                </c:pt>
                <c:pt idx="41" c:formatCode="General">
                  <c:v>41</c:v>
                </c:pt>
                <c:pt idx="42" c:formatCode="General">
                  <c:v>42</c:v>
                </c:pt>
                <c:pt idx="43" c:formatCode="General">
                  <c:v>43</c:v>
                </c:pt>
                <c:pt idx="44" c:formatCode="General">
                  <c:v>44</c:v>
                </c:pt>
                <c:pt idx="45" c:formatCode="General">
                  <c:v>45</c:v>
                </c:pt>
                <c:pt idx="46" c:formatCode="General">
                  <c:v>46</c:v>
                </c:pt>
                <c:pt idx="47" c:formatCode="General">
                  <c:v>47</c:v>
                </c:pt>
                <c:pt idx="48" c:formatCode="General">
                  <c:v>48</c:v>
                </c:pt>
                <c:pt idx="49" c:formatCode="General">
                  <c:v>49</c:v>
                </c:pt>
                <c:pt idx="50" c:formatCode="General">
                  <c:v>50</c:v>
                </c:pt>
                <c:pt idx="51" c:formatCode="General">
                  <c:v>51</c:v>
                </c:pt>
                <c:pt idx="52" c:formatCode="General">
                  <c:v>52</c:v>
                </c:pt>
                <c:pt idx="53" c:formatCode="General">
                  <c:v>53</c:v>
                </c:pt>
                <c:pt idx="54" c:formatCode="General">
                  <c:v>54</c:v>
                </c:pt>
                <c:pt idx="55" c:formatCode="General">
                  <c:v>55</c:v>
                </c:pt>
                <c:pt idx="56" c:formatCode="General">
                  <c:v>56</c:v>
                </c:pt>
                <c:pt idx="57" c:formatCode="General">
                  <c:v>57</c:v>
                </c:pt>
                <c:pt idx="58" c:formatCode="General">
                  <c:v>58</c:v>
                </c:pt>
                <c:pt idx="59" c:formatCode="General">
                  <c:v>59</c:v>
                </c:pt>
                <c:pt idx="60" c:formatCode="General">
                  <c:v>60</c:v>
                </c:pt>
              </c:numCache>
            </c:numRef>
          </c:cat>
          <c:val>
            <c:numRef>
              <c:f>업그레이드표!$E$4:$E$64</c:f>
              <c:numCache>
                <c:formatCode>#,##0</c:formatCode>
                <c:ptCount val="61"/>
                <c:pt idx="0">
                  <c:v>40</c:v>
                </c:pt>
                <c:pt idx="1">
                  <c:v>50</c:v>
                </c:pt>
                <c:pt idx="2">
                  <c:v>63</c:v>
                </c:pt>
                <c:pt idx="3">
                  <c:v>78</c:v>
                </c:pt>
                <c:pt idx="4">
                  <c:v>98</c:v>
                </c:pt>
                <c:pt idx="5">
                  <c:v>122</c:v>
                </c:pt>
                <c:pt idx="6">
                  <c:v>153</c:v>
                </c:pt>
                <c:pt idx="7">
                  <c:v>191</c:v>
                </c:pt>
                <c:pt idx="8">
                  <c:v>238</c:v>
                </c:pt>
                <c:pt idx="9">
                  <c:v>298</c:v>
                </c:pt>
                <c:pt idx="10">
                  <c:v>373</c:v>
                </c:pt>
                <c:pt idx="11">
                  <c:v>466</c:v>
                </c:pt>
                <c:pt idx="12">
                  <c:v>582</c:v>
                </c:pt>
                <c:pt idx="13">
                  <c:v>728</c:v>
                </c:pt>
                <c:pt idx="14">
                  <c:v>909</c:v>
                </c:pt>
                <c:pt idx="15">
                  <c:v>1137</c:v>
                </c:pt>
                <c:pt idx="16">
                  <c:v>1421</c:v>
                </c:pt>
                <c:pt idx="17">
                  <c:v>1776</c:v>
                </c:pt>
                <c:pt idx="18">
                  <c:v>2220</c:v>
                </c:pt>
                <c:pt idx="19">
                  <c:v>2776</c:v>
                </c:pt>
                <c:pt idx="20">
                  <c:v>3469</c:v>
                </c:pt>
                <c:pt idx="21">
                  <c:v>4337</c:v>
                </c:pt>
                <c:pt idx="22">
                  <c:v>5421</c:v>
                </c:pt>
                <c:pt idx="23">
                  <c:v>6776</c:v>
                </c:pt>
                <c:pt idx="24">
                  <c:v>8470</c:v>
                </c:pt>
                <c:pt idx="25">
                  <c:v>10588</c:v>
                </c:pt>
                <c:pt idx="26">
                  <c:v>13235</c:v>
                </c:pt>
                <c:pt idx="27">
                  <c:v>16544</c:v>
                </c:pt>
                <c:pt idx="28">
                  <c:v>20680</c:v>
                </c:pt>
                <c:pt idx="29">
                  <c:v>25849</c:v>
                </c:pt>
                <c:pt idx="30">
                  <c:v>32312</c:v>
                </c:pt>
                <c:pt idx="31">
                  <c:v>40390</c:v>
                </c:pt>
                <c:pt idx="32">
                  <c:v>50487</c:v>
                </c:pt>
                <c:pt idx="33">
                  <c:v>63109</c:v>
                </c:pt>
                <c:pt idx="34">
                  <c:v>78886</c:v>
                </c:pt>
                <c:pt idx="35">
                  <c:v>98608</c:v>
                </c:pt>
                <c:pt idx="36">
                  <c:v>123260</c:v>
                </c:pt>
                <c:pt idx="37">
                  <c:v>154074</c:v>
                </c:pt>
                <c:pt idx="38">
                  <c:v>192593</c:v>
                </c:pt>
                <c:pt idx="39">
                  <c:v>240741</c:v>
                </c:pt>
                <c:pt idx="40">
                  <c:v>300927</c:v>
                </c:pt>
                <c:pt idx="41">
                  <c:v>376158</c:v>
                </c:pt>
                <c:pt idx="42">
                  <c:v>470198</c:v>
                </c:pt>
                <c:pt idx="43">
                  <c:v>587747</c:v>
                </c:pt>
                <c:pt idx="44">
                  <c:v>734684</c:v>
                </c:pt>
                <c:pt idx="45">
                  <c:v>918355</c:v>
                </c:pt>
                <c:pt idx="46">
                  <c:v>1147944</c:v>
                </c:pt>
                <c:pt idx="47">
                  <c:v>1434930</c:v>
                </c:pt>
                <c:pt idx="48">
                  <c:v>1793662</c:v>
                </c:pt>
                <c:pt idx="49">
                  <c:v>2242078</c:v>
                </c:pt>
                <c:pt idx="50">
                  <c:v>2802597</c:v>
                </c:pt>
                <c:pt idx="51">
                  <c:v>3503246</c:v>
                </c:pt>
                <c:pt idx="52">
                  <c:v>4379058</c:v>
                </c:pt>
                <c:pt idx="53">
                  <c:v>5473822</c:v>
                </c:pt>
                <c:pt idx="54">
                  <c:v>6842278</c:v>
                </c:pt>
                <c:pt idx="55">
                  <c:v>8552847</c:v>
                </c:pt>
                <c:pt idx="56">
                  <c:v>10691059</c:v>
                </c:pt>
                <c:pt idx="57">
                  <c:v>13363824</c:v>
                </c:pt>
                <c:pt idx="58">
                  <c:v>16704779</c:v>
                </c:pt>
                <c:pt idx="59">
                  <c:v>20880974</c:v>
                </c:pt>
                <c:pt idx="60">
                  <c:v>26101218</c:v>
                </c:pt>
              </c:numCache>
            </c:numRef>
          </c:val>
          <c:smooth val="1"/>
        </c:ser>
        <c:ser>
          <c:idx val="4"/>
          <c:order val="4"/>
          <c:tx>
            <c:strRef>
              <c:f>업그레이드표!$F$3</c:f>
              <c:strCache>
                <c:ptCount val="1"/>
                <c:pt idx="0">
                  <c:v>볼주머니 비용</c:v>
                </c:pt>
              </c:strCache>
            </c:strRef>
          </c:tx>
          <c:spPr>
            <a:ln w="28440" cap="rnd" cmpd="sng" algn="ctr">
              <a:solidFill>
                <a:srgbClr val="46AAC4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업그레이드표!$A$4:$A$64</c:f>
              <c:numCache>
                <c:formatCode>General</c:formatCode>
                <c:ptCount val="61"/>
                <c:pt idx="0" c:formatCode="General">
                  <c:v>0</c:v>
                </c:pt>
                <c:pt idx="1" c:formatCode="General">
                  <c:v>1</c:v>
                </c:pt>
                <c:pt idx="2" c:formatCode="General">
                  <c:v>2</c:v>
                </c:pt>
                <c:pt idx="3" c:formatCode="General">
                  <c:v>3</c:v>
                </c:pt>
                <c:pt idx="4" c:formatCode="General">
                  <c:v>4</c:v>
                </c:pt>
                <c:pt idx="5" c:formatCode="General">
                  <c:v>5</c:v>
                </c:pt>
                <c:pt idx="6" c:formatCode="General">
                  <c:v>6</c:v>
                </c:pt>
                <c:pt idx="7" c:formatCode="General">
                  <c:v>7</c:v>
                </c:pt>
                <c:pt idx="8" c:formatCode="General">
                  <c:v>8</c:v>
                </c:pt>
                <c:pt idx="9" c:formatCode="General">
                  <c:v>9</c:v>
                </c:pt>
                <c:pt idx="10" c:formatCode="General">
                  <c:v>10</c:v>
                </c:pt>
                <c:pt idx="11" c:formatCode="General">
                  <c:v>11</c:v>
                </c:pt>
                <c:pt idx="12" c:formatCode="General">
                  <c:v>12</c:v>
                </c:pt>
                <c:pt idx="13" c:formatCode="General">
                  <c:v>13</c:v>
                </c:pt>
                <c:pt idx="14" c:formatCode="General">
                  <c:v>14</c:v>
                </c:pt>
                <c:pt idx="15" c:formatCode="General">
                  <c:v>15</c:v>
                </c:pt>
                <c:pt idx="16" c:formatCode="General">
                  <c:v>16</c:v>
                </c:pt>
                <c:pt idx="17" c:formatCode="General">
                  <c:v>17</c:v>
                </c:pt>
                <c:pt idx="18" c:formatCode="General">
                  <c:v>18</c:v>
                </c:pt>
                <c:pt idx="19" c:formatCode="General">
                  <c:v>19</c:v>
                </c:pt>
                <c:pt idx="20" c:formatCode="General">
                  <c:v>20</c:v>
                </c:pt>
                <c:pt idx="21" c:formatCode="General">
                  <c:v>21</c:v>
                </c:pt>
                <c:pt idx="22" c:formatCode="General">
                  <c:v>22</c:v>
                </c:pt>
                <c:pt idx="23" c:formatCode="General">
                  <c:v>23</c:v>
                </c:pt>
                <c:pt idx="24" c:formatCode="General">
                  <c:v>24</c:v>
                </c:pt>
                <c:pt idx="25" c:formatCode="General">
                  <c:v>25</c:v>
                </c:pt>
                <c:pt idx="26" c:formatCode="General">
                  <c:v>26</c:v>
                </c:pt>
                <c:pt idx="27" c:formatCode="General">
                  <c:v>27</c:v>
                </c:pt>
                <c:pt idx="28" c:formatCode="General">
                  <c:v>28</c:v>
                </c:pt>
                <c:pt idx="29" c:formatCode="General">
                  <c:v>29</c:v>
                </c:pt>
                <c:pt idx="30" c:formatCode="General">
                  <c:v>30</c:v>
                </c:pt>
                <c:pt idx="31" c:formatCode="General">
                  <c:v>31</c:v>
                </c:pt>
                <c:pt idx="32" c:formatCode="General">
                  <c:v>32</c:v>
                </c:pt>
                <c:pt idx="33" c:formatCode="General">
                  <c:v>33</c:v>
                </c:pt>
                <c:pt idx="34" c:formatCode="General">
                  <c:v>34</c:v>
                </c:pt>
                <c:pt idx="35" c:formatCode="General">
                  <c:v>35</c:v>
                </c:pt>
                <c:pt idx="36" c:formatCode="General">
                  <c:v>36</c:v>
                </c:pt>
                <c:pt idx="37" c:formatCode="General">
                  <c:v>37</c:v>
                </c:pt>
                <c:pt idx="38" c:formatCode="General">
                  <c:v>38</c:v>
                </c:pt>
                <c:pt idx="39" c:formatCode="General">
                  <c:v>39</c:v>
                </c:pt>
                <c:pt idx="40" c:formatCode="General">
                  <c:v>40</c:v>
                </c:pt>
                <c:pt idx="41" c:formatCode="General">
                  <c:v>41</c:v>
                </c:pt>
                <c:pt idx="42" c:formatCode="General">
                  <c:v>42</c:v>
                </c:pt>
                <c:pt idx="43" c:formatCode="General">
                  <c:v>43</c:v>
                </c:pt>
                <c:pt idx="44" c:formatCode="General">
                  <c:v>44</c:v>
                </c:pt>
                <c:pt idx="45" c:formatCode="General">
                  <c:v>45</c:v>
                </c:pt>
                <c:pt idx="46" c:formatCode="General">
                  <c:v>46</c:v>
                </c:pt>
                <c:pt idx="47" c:formatCode="General">
                  <c:v>47</c:v>
                </c:pt>
                <c:pt idx="48" c:formatCode="General">
                  <c:v>48</c:v>
                </c:pt>
                <c:pt idx="49" c:formatCode="General">
                  <c:v>49</c:v>
                </c:pt>
                <c:pt idx="50" c:formatCode="General">
                  <c:v>50</c:v>
                </c:pt>
                <c:pt idx="51" c:formatCode="General">
                  <c:v>51</c:v>
                </c:pt>
                <c:pt idx="52" c:formatCode="General">
                  <c:v>52</c:v>
                </c:pt>
                <c:pt idx="53" c:formatCode="General">
                  <c:v>53</c:v>
                </c:pt>
                <c:pt idx="54" c:formatCode="General">
                  <c:v>54</c:v>
                </c:pt>
                <c:pt idx="55" c:formatCode="General">
                  <c:v>55</c:v>
                </c:pt>
                <c:pt idx="56" c:formatCode="General">
                  <c:v>56</c:v>
                </c:pt>
                <c:pt idx="57" c:formatCode="General">
                  <c:v>57</c:v>
                </c:pt>
                <c:pt idx="58" c:formatCode="General">
                  <c:v>58</c:v>
                </c:pt>
                <c:pt idx="59" c:formatCode="General">
                  <c:v>59</c:v>
                </c:pt>
                <c:pt idx="60" c:formatCode="General">
                  <c:v>60</c:v>
                </c:pt>
              </c:numCache>
            </c:numRef>
          </c:cat>
          <c:val>
            <c:numRef>
              <c:f>업그레이드표!$F$4:$F$64</c:f>
              <c:numCache>
                <c:formatCode>#,##0</c:formatCode>
                <c:ptCount val="61"/>
                <c:pt idx="0">
                  <c:v>60</c:v>
                </c:pt>
                <c:pt idx="1">
                  <c:v>78</c:v>
                </c:pt>
                <c:pt idx="2">
                  <c:v>101</c:v>
                </c:pt>
                <c:pt idx="3">
                  <c:v>132</c:v>
                </c:pt>
                <c:pt idx="4">
                  <c:v>171</c:v>
                </c:pt>
                <c:pt idx="5">
                  <c:v>223</c:v>
                </c:pt>
                <c:pt idx="6">
                  <c:v>290</c:v>
                </c:pt>
                <c:pt idx="7">
                  <c:v>376</c:v>
                </c:pt>
                <c:pt idx="8">
                  <c:v>489</c:v>
                </c:pt>
                <c:pt idx="9">
                  <c:v>636</c:v>
                </c:pt>
                <c:pt idx="10">
                  <c:v>827</c:v>
                </c:pt>
                <c:pt idx="11">
                  <c:v>1075</c:v>
                </c:pt>
                <c:pt idx="12">
                  <c:v>1398</c:v>
                </c:pt>
                <c:pt idx="13">
                  <c:v>1817</c:v>
                </c:pt>
                <c:pt idx="14">
                  <c:v>2362</c:v>
                </c:pt>
                <c:pt idx="15">
                  <c:v>3071</c:v>
                </c:pt>
                <c:pt idx="16">
                  <c:v>3992</c:v>
                </c:pt>
                <c:pt idx="17">
                  <c:v>5190</c:v>
                </c:pt>
                <c:pt idx="18">
                  <c:v>6747</c:v>
                </c:pt>
                <c:pt idx="19">
                  <c:v>8772</c:v>
                </c:pt>
                <c:pt idx="20">
                  <c:v>11403</c:v>
                </c:pt>
                <c:pt idx="21">
                  <c:v>14824</c:v>
                </c:pt>
                <c:pt idx="22">
                  <c:v>19271</c:v>
                </c:pt>
                <c:pt idx="23">
                  <c:v>25052</c:v>
                </c:pt>
                <c:pt idx="24">
                  <c:v>32568</c:v>
                </c:pt>
                <c:pt idx="25">
                  <c:v>42338</c:v>
                </c:pt>
                <c:pt idx="26">
                  <c:v>55040</c:v>
                </c:pt>
                <c:pt idx="27">
                  <c:v>71552</c:v>
                </c:pt>
                <c:pt idx="28">
                  <c:v>93018</c:v>
                </c:pt>
                <c:pt idx="29">
                  <c:v>120923</c:v>
                </c:pt>
                <c:pt idx="30">
                  <c:v>157200</c:v>
                </c:pt>
                <c:pt idx="31">
                  <c:v>204360</c:v>
                </c:pt>
                <c:pt idx="32">
                  <c:v>265668</c:v>
                </c:pt>
                <c:pt idx="33">
                  <c:v>345368</c:v>
                </c:pt>
                <c:pt idx="34">
                  <c:v>448978</c:v>
                </c:pt>
                <c:pt idx="35">
                  <c:v>583672</c:v>
                </c:pt>
                <c:pt idx="36">
                  <c:v>758773</c:v>
                </c:pt>
                <c:pt idx="37">
                  <c:v>986405</c:v>
                </c:pt>
                <c:pt idx="38">
                  <c:v>1282327</c:v>
                </c:pt>
                <c:pt idx="39">
                  <c:v>1667025</c:v>
                </c:pt>
                <c:pt idx="40">
                  <c:v>2167132</c:v>
                </c:pt>
                <c:pt idx="41">
                  <c:v>2817271</c:v>
                </c:pt>
                <c:pt idx="42">
                  <c:v>3662453</c:v>
                </c:pt>
                <c:pt idx="43">
                  <c:v>4761189</c:v>
                </c:pt>
                <c:pt idx="44">
                  <c:v>6189545</c:v>
                </c:pt>
                <c:pt idx="45">
                  <c:v>8046409</c:v>
                </c:pt>
                <c:pt idx="46">
                  <c:v>10460332</c:v>
                </c:pt>
                <c:pt idx="47">
                  <c:v>13598431</c:v>
                </c:pt>
                <c:pt idx="48">
                  <c:v>17677961</c:v>
                </c:pt>
                <c:pt idx="49">
                  <c:v>22981349</c:v>
                </c:pt>
                <c:pt idx="50">
                  <c:v>29875753</c:v>
                </c:pt>
                <c:pt idx="51">
                  <c:v>38838479</c:v>
                </c:pt>
                <c:pt idx="52">
                  <c:v>50490023</c:v>
                </c:pt>
                <c:pt idx="53">
                  <c:v>65637030</c:v>
                </c:pt>
                <c:pt idx="54">
                  <c:v>85328139</c:v>
                </c:pt>
                <c:pt idx="55">
                  <c:v>110926581</c:v>
                </c:pt>
                <c:pt idx="56">
                  <c:v>144204555</c:v>
                </c:pt>
                <c:pt idx="57">
                  <c:v>187465922</c:v>
                </c:pt>
                <c:pt idx="58">
                  <c:v>243705698</c:v>
                </c:pt>
                <c:pt idx="59">
                  <c:v>316817408</c:v>
                </c:pt>
                <c:pt idx="60">
                  <c:v>411862630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87218331"/>
        <c:axId val="17619883"/>
      </c:lineChart>
      <c:catAx>
        <c:axId val="87218331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ko-KR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Lv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ko-K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17619883"/>
        <c:crosses val="autoZero"/>
        <c:auto val="1"/>
        <c:lblAlgn val="ctr"/>
        <c:lblOffset val="100"/>
        <c:noMultiLvlLbl val="0"/>
      </c:catAx>
      <c:valAx>
        <c:axId val="17619883"/>
        <c:scaling>
          <c:logBase val="10"/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ko-K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87218331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ko-KR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a736275-0f04-49b4-be4b-3ece5b1c6027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ko-KR"/>
      </a:pPr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zh-CN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0" vertOverflow="ellipsis" vert="horz" wrap="square" anchor="ctr" anchorCtr="1"/>
          <a:lstStyle/>
          <a:p>
            <a:pPr>
              <a:defRPr lang="ko-KR" sz="1800" b="1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  <a:r>
              <a:rPr sz="1800" b="1" strike="noStrike" spc="-1">
                <a:solidFill>
                  <a:srgbClr val="000000"/>
                </a:solidFill>
                <a:latin typeface="Calibri" panose="020F0502020204030204"/>
              </a:rPr>
              <a:t>판별 비행거리 (m, 로그축)</a:t>
            </a:r>
            <a:endParaRPr sz="1800" b="1" strike="noStrike" spc="-1">
              <a:solidFill>
                <a:srgbClr val="000000"/>
              </a:solidFill>
              <a:latin typeface="Calibri" panose="020F0502020204030204"/>
            </a:endParaRPr>
          </a:p>
        </c:rich>
      </c:tx>
      <c:layout/>
      <c:overlay val="0"/>
      <c:spPr>
        <a:noFill/>
        <a:ln w="0">
          <a:noFill/>
        </a:ln>
      </c:sp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'진행 시뮬'!$C$4</c:f>
              <c:strCache>
                <c:ptCount val="1"/>
                <c:pt idx="0">
                  <c:v>거리 — 광고X</c:v>
                </c:pt>
              </c:strCache>
            </c:strRef>
          </c:tx>
          <c:spPr>
            <a:ln w="28440" cap="rnd" cmpd="sng" algn="ctr">
              <a:solidFill>
                <a:srgbClr val="4A7EBB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'진행 시뮬'!$A$5:$A$154</c:f>
              <c:numCache>
                <c:formatCode>General</c:formatCode>
                <c:ptCount val="150"/>
                <c:pt idx="0" c:formatCode="General">
                  <c:v>1</c:v>
                </c:pt>
                <c:pt idx="1" c:formatCode="General">
                  <c:v>2</c:v>
                </c:pt>
                <c:pt idx="2" c:formatCode="General">
                  <c:v>3</c:v>
                </c:pt>
                <c:pt idx="3" c:formatCode="General">
                  <c:v>4</c:v>
                </c:pt>
                <c:pt idx="4" c:formatCode="General">
                  <c:v>5</c:v>
                </c:pt>
                <c:pt idx="5" c:formatCode="General">
                  <c:v>6</c:v>
                </c:pt>
                <c:pt idx="6" c:formatCode="General">
                  <c:v>7</c:v>
                </c:pt>
                <c:pt idx="7" c:formatCode="General">
                  <c:v>8</c:v>
                </c:pt>
                <c:pt idx="8" c:formatCode="General">
                  <c:v>9</c:v>
                </c:pt>
                <c:pt idx="9" c:formatCode="General">
                  <c:v>10</c:v>
                </c:pt>
                <c:pt idx="10" c:formatCode="General">
                  <c:v>11</c:v>
                </c:pt>
                <c:pt idx="11" c:formatCode="General">
                  <c:v>12</c:v>
                </c:pt>
                <c:pt idx="12" c:formatCode="General">
                  <c:v>13</c:v>
                </c:pt>
                <c:pt idx="13" c:formatCode="General">
                  <c:v>14</c:v>
                </c:pt>
                <c:pt idx="14" c:formatCode="General">
                  <c:v>15</c:v>
                </c:pt>
                <c:pt idx="15" c:formatCode="General">
                  <c:v>16</c:v>
                </c:pt>
                <c:pt idx="16" c:formatCode="General">
                  <c:v>17</c:v>
                </c:pt>
                <c:pt idx="17" c:formatCode="General">
                  <c:v>18</c:v>
                </c:pt>
                <c:pt idx="18" c:formatCode="General">
                  <c:v>19</c:v>
                </c:pt>
                <c:pt idx="19" c:formatCode="General">
                  <c:v>20</c:v>
                </c:pt>
                <c:pt idx="20" c:formatCode="General">
                  <c:v>21</c:v>
                </c:pt>
                <c:pt idx="21" c:formatCode="General">
                  <c:v>22</c:v>
                </c:pt>
                <c:pt idx="22" c:formatCode="General">
                  <c:v>23</c:v>
                </c:pt>
                <c:pt idx="23" c:formatCode="General">
                  <c:v>24</c:v>
                </c:pt>
                <c:pt idx="24" c:formatCode="General">
                  <c:v>25</c:v>
                </c:pt>
                <c:pt idx="25" c:formatCode="General">
                  <c:v>26</c:v>
                </c:pt>
                <c:pt idx="26" c:formatCode="General">
                  <c:v>27</c:v>
                </c:pt>
                <c:pt idx="27" c:formatCode="General">
                  <c:v>28</c:v>
                </c:pt>
                <c:pt idx="28" c:formatCode="General">
                  <c:v>29</c:v>
                </c:pt>
                <c:pt idx="29" c:formatCode="General">
                  <c:v>30</c:v>
                </c:pt>
                <c:pt idx="30" c:formatCode="General">
                  <c:v>31</c:v>
                </c:pt>
                <c:pt idx="31" c:formatCode="General">
                  <c:v>32</c:v>
                </c:pt>
                <c:pt idx="32" c:formatCode="General">
                  <c:v>33</c:v>
                </c:pt>
                <c:pt idx="33" c:formatCode="General">
                  <c:v>34</c:v>
                </c:pt>
                <c:pt idx="34" c:formatCode="General">
                  <c:v>35</c:v>
                </c:pt>
                <c:pt idx="35" c:formatCode="General">
                  <c:v>36</c:v>
                </c:pt>
                <c:pt idx="36" c:formatCode="General">
                  <c:v>37</c:v>
                </c:pt>
                <c:pt idx="37" c:formatCode="General">
                  <c:v>38</c:v>
                </c:pt>
                <c:pt idx="38" c:formatCode="General">
                  <c:v>39</c:v>
                </c:pt>
                <c:pt idx="39" c:formatCode="General">
                  <c:v>40</c:v>
                </c:pt>
                <c:pt idx="40" c:formatCode="General">
                  <c:v>41</c:v>
                </c:pt>
                <c:pt idx="41" c:formatCode="General">
                  <c:v>42</c:v>
                </c:pt>
                <c:pt idx="42" c:formatCode="General">
                  <c:v>43</c:v>
                </c:pt>
                <c:pt idx="43" c:formatCode="General">
                  <c:v>44</c:v>
                </c:pt>
                <c:pt idx="44" c:formatCode="General">
                  <c:v>45</c:v>
                </c:pt>
                <c:pt idx="45" c:formatCode="General">
                  <c:v>46</c:v>
                </c:pt>
                <c:pt idx="46" c:formatCode="General">
                  <c:v>47</c:v>
                </c:pt>
                <c:pt idx="47" c:formatCode="General">
                  <c:v>48</c:v>
                </c:pt>
                <c:pt idx="48" c:formatCode="General">
                  <c:v>49</c:v>
                </c:pt>
                <c:pt idx="49" c:formatCode="General">
                  <c:v>50</c:v>
                </c:pt>
                <c:pt idx="50" c:formatCode="General">
                  <c:v>51</c:v>
                </c:pt>
                <c:pt idx="51" c:formatCode="General">
                  <c:v>52</c:v>
                </c:pt>
                <c:pt idx="52" c:formatCode="General">
                  <c:v>53</c:v>
                </c:pt>
                <c:pt idx="53" c:formatCode="General">
                  <c:v>54</c:v>
                </c:pt>
                <c:pt idx="54" c:formatCode="General">
                  <c:v>55</c:v>
                </c:pt>
                <c:pt idx="55" c:formatCode="General">
                  <c:v>56</c:v>
                </c:pt>
                <c:pt idx="56" c:formatCode="General">
                  <c:v>57</c:v>
                </c:pt>
                <c:pt idx="57" c:formatCode="General">
                  <c:v>58</c:v>
                </c:pt>
                <c:pt idx="58" c:formatCode="General">
                  <c:v>59</c:v>
                </c:pt>
                <c:pt idx="59" c:formatCode="General">
                  <c:v>60</c:v>
                </c:pt>
                <c:pt idx="60" c:formatCode="General">
                  <c:v>61</c:v>
                </c:pt>
                <c:pt idx="61" c:formatCode="General">
                  <c:v>62</c:v>
                </c:pt>
                <c:pt idx="62" c:formatCode="General">
                  <c:v>63</c:v>
                </c:pt>
                <c:pt idx="63" c:formatCode="General">
                  <c:v>64</c:v>
                </c:pt>
                <c:pt idx="64" c:formatCode="General">
                  <c:v>65</c:v>
                </c:pt>
                <c:pt idx="65" c:formatCode="General">
                  <c:v>66</c:v>
                </c:pt>
                <c:pt idx="66" c:formatCode="General">
                  <c:v>67</c:v>
                </c:pt>
                <c:pt idx="67" c:formatCode="General">
                  <c:v>68</c:v>
                </c:pt>
                <c:pt idx="68" c:formatCode="General">
                  <c:v>69</c:v>
                </c:pt>
                <c:pt idx="69" c:formatCode="General">
                  <c:v>70</c:v>
                </c:pt>
                <c:pt idx="70" c:formatCode="General">
                  <c:v>71</c:v>
                </c:pt>
                <c:pt idx="71" c:formatCode="General">
                  <c:v>72</c:v>
                </c:pt>
                <c:pt idx="72" c:formatCode="General">
                  <c:v>73</c:v>
                </c:pt>
                <c:pt idx="73" c:formatCode="General">
                  <c:v>74</c:v>
                </c:pt>
                <c:pt idx="74" c:formatCode="General">
                  <c:v>75</c:v>
                </c:pt>
                <c:pt idx="75" c:formatCode="General">
                  <c:v>76</c:v>
                </c:pt>
                <c:pt idx="76" c:formatCode="General">
                  <c:v>77</c:v>
                </c:pt>
                <c:pt idx="77" c:formatCode="General">
                  <c:v>78</c:v>
                </c:pt>
                <c:pt idx="78" c:formatCode="General">
                  <c:v>79</c:v>
                </c:pt>
                <c:pt idx="79" c:formatCode="General">
                  <c:v>80</c:v>
                </c:pt>
                <c:pt idx="80" c:formatCode="General">
                  <c:v>81</c:v>
                </c:pt>
                <c:pt idx="81" c:formatCode="General">
                  <c:v>82</c:v>
                </c:pt>
                <c:pt idx="82" c:formatCode="General">
                  <c:v>83</c:v>
                </c:pt>
                <c:pt idx="83" c:formatCode="General">
                  <c:v>84</c:v>
                </c:pt>
                <c:pt idx="84" c:formatCode="General">
                  <c:v>85</c:v>
                </c:pt>
                <c:pt idx="85" c:formatCode="General">
                  <c:v>86</c:v>
                </c:pt>
                <c:pt idx="86" c:formatCode="General">
                  <c:v>87</c:v>
                </c:pt>
                <c:pt idx="87" c:formatCode="General">
                  <c:v>88</c:v>
                </c:pt>
                <c:pt idx="88" c:formatCode="General">
                  <c:v>89</c:v>
                </c:pt>
                <c:pt idx="89" c:formatCode="General">
                  <c:v>90</c:v>
                </c:pt>
                <c:pt idx="90" c:formatCode="General">
                  <c:v>91</c:v>
                </c:pt>
                <c:pt idx="91" c:formatCode="General">
                  <c:v>92</c:v>
                </c:pt>
                <c:pt idx="92" c:formatCode="General">
                  <c:v>93</c:v>
                </c:pt>
                <c:pt idx="93" c:formatCode="General">
                  <c:v>94</c:v>
                </c:pt>
                <c:pt idx="94" c:formatCode="General">
                  <c:v>95</c:v>
                </c:pt>
                <c:pt idx="95" c:formatCode="General">
                  <c:v>96</c:v>
                </c:pt>
                <c:pt idx="96" c:formatCode="General">
                  <c:v>97</c:v>
                </c:pt>
                <c:pt idx="97" c:formatCode="General">
                  <c:v>98</c:v>
                </c:pt>
                <c:pt idx="98" c:formatCode="General">
                  <c:v>99</c:v>
                </c:pt>
                <c:pt idx="99" c:formatCode="General">
                  <c:v>100</c:v>
                </c:pt>
                <c:pt idx="100" c:formatCode="General">
                  <c:v>101</c:v>
                </c:pt>
                <c:pt idx="101" c:formatCode="General">
                  <c:v>102</c:v>
                </c:pt>
                <c:pt idx="102" c:formatCode="General">
                  <c:v>103</c:v>
                </c:pt>
                <c:pt idx="103" c:formatCode="General">
                  <c:v>104</c:v>
                </c:pt>
                <c:pt idx="104" c:formatCode="General">
                  <c:v>105</c:v>
                </c:pt>
                <c:pt idx="105" c:formatCode="General">
                  <c:v>106</c:v>
                </c:pt>
                <c:pt idx="106" c:formatCode="General">
                  <c:v>107</c:v>
                </c:pt>
                <c:pt idx="107" c:formatCode="General">
                  <c:v>108</c:v>
                </c:pt>
                <c:pt idx="108" c:formatCode="General">
                  <c:v>109</c:v>
                </c:pt>
                <c:pt idx="109" c:formatCode="General">
                  <c:v>110</c:v>
                </c:pt>
                <c:pt idx="110" c:formatCode="General">
                  <c:v>111</c:v>
                </c:pt>
                <c:pt idx="111" c:formatCode="General">
                  <c:v>112</c:v>
                </c:pt>
                <c:pt idx="112" c:formatCode="General">
                  <c:v>113</c:v>
                </c:pt>
                <c:pt idx="113" c:formatCode="General">
                  <c:v>114</c:v>
                </c:pt>
                <c:pt idx="114" c:formatCode="General">
                  <c:v>115</c:v>
                </c:pt>
                <c:pt idx="115" c:formatCode="General">
                  <c:v>116</c:v>
                </c:pt>
                <c:pt idx="116" c:formatCode="General">
                  <c:v>117</c:v>
                </c:pt>
                <c:pt idx="117" c:formatCode="General">
                  <c:v>118</c:v>
                </c:pt>
                <c:pt idx="118" c:formatCode="General">
                  <c:v>119</c:v>
                </c:pt>
                <c:pt idx="119" c:formatCode="General">
                  <c:v>120</c:v>
                </c:pt>
                <c:pt idx="120" c:formatCode="General">
                  <c:v>121</c:v>
                </c:pt>
                <c:pt idx="121" c:formatCode="General">
                  <c:v>122</c:v>
                </c:pt>
                <c:pt idx="122" c:formatCode="General">
                  <c:v>123</c:v>
                </c:pt>
                <c:pt idx="123" c:formatCode="General">
                  <c:v>124</c:v>
                </c:pt>
                <c:pt idx="124" c:formatCode="General">
                  <c:v>125</c:v>
                </c:pt>
                <c:pt idx="125" c:formatCode="General">
                  <c:v>126</c:v>
                </c:pt>
                <c:pt idx="126" c:formatCode="General">
                  <c:v>127</c:v>
                </c:pt>
                <c:pt idx="127" c:formatCode="General">
                  <c:v>128</c:v>
                </c:pt>
                <c:pt idx="128" c:formatCode="General">
                  <c:v>129</c:v>
                </c:pt>
                <c:pt idx="129" c:formatCode="General">
                  <c:v>130</c:v>
                </c:pt>
                <c:pt idx="130" c:formatCode="General">
                  <c:v>131</c:v>
                </c:pt>
                <c:pt idx="131" c:formatCode="General">
                  <c:v>132</c:v>
                </c:pt>
                <c:pt idx="132" c:formatCode="General">
                  <c:v>133</c:v>
                </c:pt>
                <c:pt idx="133" c:formatCode="General">
                  <c:v>134</c:v>
                </c:pt>
                <c:pt idx="134" c:formatCode="General">
                  <c:v>135</c:v>
                </c:pt>
                <c:pt idx="135" c:formatCode="General">
                  <c:v>136</c:v>
                </c:pt>
                <c:pt idx="136" c:formatCode="General">
                  <c:v>137</c:v>
                </c:pt>
                <c:pt idx="137" c:formatCode="General">
                  <c:v>138</c:v>
                </c:pt>
                <c:pt idx="138" c:formatCode="General">
                  <c:v>139</c:v>
                </c:pt>
                <c:pt idx="139" c:formatCode="General">
                  <c:v>140</c:v>
                </c:pt>
                <c:pt idx="140" c:formatCode="General">
                  <c:v>141</c:v>
                </c:pt>
                <c:pt idx="141" c:formatCode="General">
                  <c:v>142</c:v>
                </c:pt>
                <c:pt idx="142" c:formatCode="General">
                  <c:v>143</c:v>
                </c:pt>
                <c:pt idx="143" c:formatCode="General">
                  <c:v>144</c:v>
                </c:pt>
                <c:pt idx="144" c:formatCode="General">
                  <c:v>145</c:v>
                </c:pt>
                <c:pt idx="145" c:formatCode="General">
                  <c:v>146</c:v>
                </c:pt>
                <c:pt idx="146" c:formatCode="General">
                  <c:v>147</c:v>
                </c:pt>
                <c:pt idx="147" c:formatCode="General">
                  <c:v>148</c:v>
                </c:pt>
                <c:pt idx="148" c:formatCode="General">
                  <c:v>149</c:v>
                </c:pt>
                <c:pt idx="149" c:formatCode="General">
                  <c:v>150</c:v>
                </c:pt>
              </c:numCache>
            </c:numRef>
          </c:cat>
          <c:val>
            <c:numRef>
              <c:f>'진행 시뮬'!$C$5:$C$154</c:f>
              <c:numCache>
                <c:formatCode>#,##0</c:formatCode>
                <c:ptCount val="150"/>
                <c:pt idx="0">
                  <c:v>23</c:v>
                </c:pt>
                <c:pt idx="1">
                  <c:v>23</c:v>
                </c:pt>
                <c:pt idx="2">
                  <c:v>23</c:v>
                </c:pt>
                <c:pt idx="3">
                  <c:v>43</c:v>
                </c:pt>
                <c:pt idx="4">
                  <c:v>72</c:v>
                </c:pt>
                <c:pt idx="5">
                  <c:v>106</c:v>
                </c:pt>
                <c:pt idx="6">
                  <c:v>144</c:v>
                </c:pt>
                <c:pt idx="7">
                  <c:v>192</c:v>
                </c:pt>
                <c:pt idx="8">
                  <c:v>263</c:v>
                </c:pt>
                <c:pt idx="9">
                  <c:v>345</c:v>
                </c:pt>
                <c:pt idx="10">
                  <c:v>407</c:v>
                </c:pt>
                <c:pt idx="11">
                  <c:v>474</c:v>
                </c:pt>
                <c:pt idx="12">
                  <c:v>577</c:v>
                </c:pt>
                <c:pt idx="13">
                  <c:v>676</c:v>
                </c:pt>
                <c:pt idx="14">
                  <c:v>856</c:v>
                </c:pt>
                <c:pt idx="15">
                  <c:v>1005</c:v>
                </c:pt>
                <c:pt idx="16">
                  <c:v>1224</c:v>
                </c:pt>
                <c:pt idx="17">
                  <c:v>1502</c:v>
                </c:pt>
                <c:pt idx="18">
                  <c:v>1807</c:v>
                </c:pt>
                <c:pt idx="19">
                  <c:v>2132</c:v>
                </c:pt>
                <c:pt idx="20">
                  <c:v>2471</c:v>
                </c:pt>
                <c:pt idx="21">
                  <c:v>2852</c:v>
                </c:pt>
                <c:pt idx="22">
                  <c:v>3268</c:v>
                </c:pt>
                <c:pt idx="23">
                  <c:v>3859</c:v>
                </c:pt>
                <c:pt idx="24">
                  <c:v>4244</c:v>
                </c:pt>
                <c:pt idx="25">
                  <c:v>4721</c:v>
                </c:pt>
                <c:pt idx="26">
                  <c:v>5194</c:v>
                </c:pt>
                <c:pt idx="27">
                  <c:v>5791</c:v>
                </c:pt>
                <c:pt idx="28">
                  <c:v>6322</c:v>
                </c:pt>
                <c:pt idx="29">
                  <c:v>7015</c:v>
                </c:pt>
                <c:pt idx="30">
                  <c:v>7465</c:v>
                </c:pt>
                <c:pt idx="31">
                  <c:v>7999</c:v>
                </c:pt>
                <c:pt idx="32">
                  <c:v>8684</c:v>
                </c:pt>
                <c:pt idx="33">
                  <c:v>9068</c:v>
                </c:pt>
                <c:pt idx="34">
                  <c:v>9834</c:v>
                </c:pt>
                <c:pt idx="35">
                  <c:v>10250</c:v>
                </c:pt>
                <c:pt idx="36">
                  <c:v>10935</c:v>
                </c:pt>
                <c:pt idx="37">
                  <c:v>11546</c:v>
                </c:pt>
                <c:pt idx="38">
                  <c:v>11791</c:v>
                </c:pt>
                <c:pt idx="39">
                  <c:v>12694</c:v>
                </c:pt>
                <c:pt idx="40">
                  <c:v>13045</c:v>
                </c:pt>
                <c:pt idx="41">
                  <c:v>13372</c:v>
                </c:pt>
                <c:pt idx="42">
                  <c:v>14214</c:v>
                </c:pt>
                <c:pt idx="43">
                  <c:v>14599</c:v>
                </c:pt>
                <c:pt idx="44">
                  <c:v>15247</c:v>
                </c:pt>
                <c:pt idx="45">
                  <c:v>15869</c:v>
                </c:pt>
                <c:pt idx="46">
                  <c:v>15869</c:v>
                </c:pt>
                <c:pt idx="47">
                  <c:v>16438</c:v>
                </c:pt>
                <c:pt idx="48">
                  <c:v>16988</c:v>
                </c:pt>
                <c:pt idx="49">
                  <c:v>17819</c:v>
                </c:pt>
                <c:pt idx="50">
                  <c:v>17819</c:v>
                </c:pt>
                <c:pt idx="51">
                  <c:v>18629</c:v>
                </c:pt>
                <c:pt idx="52">
                  <c:v>18877</c:v>
                </c:pt>
                <c:pt idx="53">
                  <c:v>19884</c:v>
                </c:pt>
                <c:pt idx="54">
                  <c:v>19884</c:v>
                </c:pt>
                <c:pt idx="55">
                  <c:v>20145</c:v>
                </c:pt>
                <c:pt idx="56">
                  <c:v>20814</c:v>
                </c:pt>
                <c:pt idx="57">
                  <c:v>21607</c:v>
                </c:pt>
                <c:pt idx="58">
                  <c:v>22007</c:v>
                </c:pt>
                <c:pt idx="59">
                  <c:v>22007</c:v>
                </c:pt>
                <c:pt idx="60">
                  <c:v>22549</c:v>
                </c:pt>
                <c:pt idx="61">
                  <c:v>23005</c:v>
                </c:pt>
                <c:pt idx="62">
                  <c:v>23424</c:v>
                </c:pt>
                <c:pt idx="63">
                  <c:v>24298</c:v>
                </c:pt>
                <c:pt idx="64">
                  <c:v>24298</c:v>
                </c:pt>
                <c:pt idx="65">
                  <c:v>24298</c:v>
                </c:pt>
                <c:pt idx="66">
                  <c:v>25054</c:v>
                </c:pt>
                <c:pt idx="67">
                  <c:v>25369</c:v>
                </c:pt>
                <c:pt idx="68">
                  <c:v>25822</c:v>
                </c:pt>
                <c:pt idx="69">
                  <c:v>26437</c:v>
                </c:pt>
                <c:pt idx="70">
                  <c:v>26766</c:v>
                </c:pt>
                <c:pt idx="71">
                  <c:v>26940</c:v>
                </c:pt>
                <c:pt idx="72">
                  <c:v>26940</c:v>
                </c:pt>
                <c:pt idx="73">
                  <c:v>27574</c:v>
                </c:pt>
                <c:pt idx="74">
                  <c:v>28402</c:v>
                </c:pt>
                <c:pt idx="75">
                  <c:v>28402</c:v>
                </c:pt>
                <c:pt idx="76">
                  <c:v>29245</c:v>
                </c:pt>
                <c:pt idx="77">
                  <c:v>29245</c:v>
                </c:pt>
                <c:pt idx="78">
                  <c:v>29245</c:v>
                </c:pt>
                <c:pt idx="79">
                  <c:v>29749</c:v>
                </c:pt>
                <c:pt idx="80">
                  <c:v>30110</c:v>
                </c:pt>
                <c:pt idx="81">
                  <c:v>30804</c:v>
                </c:pt>
                <c:pt idx="82">
                  <c:v>30988</c:v>
                </c:pt>
                <c:pt idx="83">
                  <c:v>31359</c:v>
                </c:pt>
                <c:pt idx="84">
                  <c:v>32073</c:v>
                </c:pt>
                <c:pt idx="85">
                  <c:v>32073</c:v>
                </c:pt>
                <c:pt idx="86">
                  <c:v>32617</c:v>
                </c:pt>
                <c:pt idx="87">
                  <c:v>32617</c:v>
                </c:pt>
                <c:pt idx="88">
                  <c:v>32617</c:v>
                </c:pt>
                <c:pt idx="89">
                  <c:v>33353</c:v>
                </c:pt>
                <c:pt idx="90">
                  <c:v>33751</c:v>
                </c:pt>
                <c:pt idx="91">
                  <c:v>33939</c:v>
                </c:pt>
                <c:pt idx="92">
                  <c:v>34505</c:v>
                </c:pt>
                <c:pt idx="93">
                  <c:v>34505</c:v>
                </c:pt>
                <c:pt idx="94">
                  <c:v>35275</c:v>
                </c:pt>
                <c:pt idx="95">
                  <c:v>35690</c:v>
                </c:pt>
                <c:pt idx="96">
                  <c:v>35690</c:v>
                </c:pt>
                <c:pt idx="97">
                  <c:v>35690</c:v>
                </c:pt>
                <c:pt idx="98">
                  <c:v>35883</c:v>
                </c:pt>
                <c:pt idx="99">
                  <c:v>35883</c:v>
                </c:pt>
                <c:pt idx="100">
                  <c:v>36674</c:v>
                </c:pt>
                <c:pt idx="101">
                  <c:v>37100</c:v>
                </c:pt>
                <c:pt idx="102">
                  <c:v>37100</c:v>
                </c:pt>
                <c:pt idx="103">
                  <c:v>37709</c:v>
                </c:pt>
                <c:pt idx="104">
                  <c:v>37709</c:v>
                </c:pt>
                <c:pt idx="105">
                  <c:v>38534</c:v>
                </c:pt>
                <c:pt idx="106">
                  <c:v>38534</c:v>
                </c:pt>
                <c:pt idx="107">
                  <c:v>38534</c:v>
                </c:pt>
                <c:pt idx="108">
                  <c:v>38534</c:v>
                </c:pt>
                <c:pt idx="109">
                  <c:v>39177</c:v>
                </c:pt>
                <c:pt idx="110">
                  <c:v>39177</c:v>
                </c:pt>
                <c:pt idx="111">
                  <c:v>39177</c:v>
                </c:pt>
                <c:pt idx="112">
                  <c:v>40025</c:v>
                </c:pt>
                <c:pt idx="113">
                  <c:v>40025</c:v>
                </c:pt>
                <c:pt idx="114">
                  <c:v>40670</c:v>
                </c:pt>
                <c:pt idx="115">
                  <c:v>41134</c:v>
                </c:pt>
                <c:pt idx="116">
                  <c:v>41336</c:v>
                </c:pt>
                <c:pt idx="117">
                  <c:v>41336</c:v>
                </c:pt>
                <c:pt idx="118">
                  <c:v>42220</c:v>
                </c:pt>
                <c:pt idx="119">
                  <c:v>42220</c:v>
                </c:pt>
                <c:pt idx="120">
                  <c:v>42220</c:v>
                </c:pt>
                <c:pt idx="121">
                  <c:v>42220</c:v>
                </c:pt>
                <c:pt idx="122">
                  <c:v>42220</c:v>
                </c:pt>
                <c:pt idx="123">
                  <c:v>42696</c:v>
                </c:pt>
                <c:pt idx="124">
                  <c:v>42696</c:v>
                </c:pt>
                <c:pt idx="125">
                  <c:v>43374</c:v>
                </c:pt>
                <c:pt idx="126">
                  <c:v>43374</c:v>
                </c:pt>
                <c:pt idx="127">
                  <c:v>43374</c:v>
                </c:pt>
                <c:pt idx="128">
                  <c:v>44296</c:v>
                </c:pt>
                <c:pt idx="129">
                  <c:v>44502</c:v>
                </c:pt>
                <c:pt idx="130">
                  <c:v>44998</c:v>
                </c:pt>
                <c:pt idx="131">
                  <c:v>44998</c:v>
                </c:pt>
                <c:pt idx="132">
                  <c:v>44998</c:v>
                </c:pt>
                <c:pt idx="133">
                  <c:v>45944</c:v>
                </c:pt>
                <c:pt idx="134">
                  <c:v>45944</c:v>
                </c:pt>
                <c:pt idx="135">
                  <c:v>45944</c:v>
                </c:pt>
                <c:pt idx="136">
                  <c:v>45944</c:v>
                </c:pt>
                <c:pt idx="137">
                  <c:v>45944</c:v>
                </c:pt>
                <c:pt idx="138">
                  <c:v>45944</c:v>
                </c:pt>
                <c:pt idx="139">
                  <c:v>46661</c:v>
                </c:pt>
                <c:pt idx="140">
                  <c:v>46661</c:v>
                </c:pt>
                <c:pt idx="141">
                  <c:v>47177</c:v>
                </c:pt>
                <c:pt idx="142">
                  <c:v>47388</c:v>
                </c:pt>
                <c:pt idx="143">
                  <c:v>47388</c:v>
                </c:pt>
                <c:pt idx="144">
                  <c:v>47388</c:v>
                </c:pt>
                <c:pt idx="145">
                  <c:v>48373</c:v>
                </c:pt>
                <c:pt idx="146">
                  <c:v>48373</c:v>
                </c:pt>
                <c:pt idx="147">
                  <c:v>48373</c:v>
                </c:pt>
                <c:pt idx="148">
                  <c:v>49118</c:v>
                </c:pt>
                <c:pt idx="149">
                  <c:v>49118</c:v>
                </c:pt>
              </c:numCache>
            </c:numRef>
          </c:val>
          <c:smooth val="1"/>
        </c:ser>
        <c:ser>
          <c:idx val="1"/>
          <c:order val="1"/>
          <c:tx>
            <c:strRef>
              <c:f>'진행 시뮬'!$D$4</c:f>
              <c:strCache>
                <c:ptCount val="1"/>
                <c:pt idx="0">
                  <c:v>거리 — 광고 30%</c:v>
                </c:pt>
              </c:strCache>
            </c:strRef>
          </c:tx>
          <c:spPr>
            <a:ln w="28440" cap="rnd" cmpd="sng" algn="ctr">
              <a:solidFill>
                <a:srgbClr val="BE4B48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'진행 시뮬'!$A$5:$A$154</c:f>
              <c:numCache>
                <c:formatCode>General</c:formatCode>
                <c:ptCount val="150"/>
                <c:pt idx="0" c:formatCode="General">
                  <c:v>1</c:v>
                </c:pt>
                <c:pt idx="1" c:formatCode="General">
                  <c:v>2</c:v>
                </c:pt>
                <c:pt idx="2" c:formatCode="General">
                  <c:v>3</c:v>
                </c:pt>
                <c:pt idx="3" c:formatCode="General">
                  <c:v>4</c:v>
                </c:pt>
                <c:pt idx="4" c:formatCode="General">
                  <c:v>5</c:v>
                </c:pt>
                <c:pt idx="5" c:formatCode="General">
                  <c:v>6</c:v>
                </c:pt>
                <c:pt idx="6" c:formatCode="General">
                  <c:v>7</c:v>
                </c:pt>
                <c:pt idx="7" c:formatCode="General">
                  <c:v>8</c:v>
                </c:pt>
                <c:pt idx="8" c:formatCode="General">
                  <c:v>9</c:v>
                </c:pt>
                <c:pt idx="9" c:formatCode="General">
                  <c:v>10</c:v>
                </c:pt>
                <c:pt idx="10" c:formatCode="General">
                  <c:v>11</c:v>
                </c:pt>
                <c:pt idx="11" c:formatCode="General">
                  <c:v>12</c:v>
                </c:pt>
                <c:pt idx="12" c:formatCode="General">
                  <c:v>13</c:v>
                </c:pt>
                <c:pt idx="13" c:formatCode="General">
                  <c:v>14</c:v>
                </c:pt>
                <c:pt idx="14" c:formatCode="General">
                  <c:v>15</c:v>
                </c:pt>
                <c:pt idx="15" c:formatCode="General">
                  <c:v>16</c:v>
                </c:pt>
                <c:pt idx="16" c:formatCode="General">
                  <c:v>17</c:v>
                </c:pt>
                <c:pt idx="17" c:formatCode="General">
                  <c:v>18</c:v>
                </c:pt>
                <c:pt idx="18" c:formatCode="General">
                  <c:v>19</c:v>
                </c:pt>
                <c:pt idx="19" c:formatCode="General">
                  <c:v>20</c:v>
                </c:pt>
                <c:pt idx="20" c:formatCode="General">
                  <c:v>21</c:v>
                </c:pt>
                <c:pt idx="21" c:formatCode="General">
                  <c:v>22</c:v>
                </c:pt>
                <c:pt idx="22" c:formatCode="General">
                  <c:v>23</c:v>
                </c:pt>
                <c:pt idx="23" c:formatCode="General">
                  <c:v>24</c:v>
                </c:pt>
                <c:pt idx="24" c:formatCode="General">
                  <c:v>25</c:v>
                </c:pt>
                <c:pt idx="25" c:formatCode="General">
                  <c:v>26</c:v>
                </c:pt>
                <c:pt idx="26" c:formatCode="General">
                  <c:v>27</c:v>
                </c:pt>
                <c:pt idx="27" c:formatCode="General">
                  <c:v>28</c:v>
                </c:pt>
                <c:pt idx="28" c:formatCode="General">
                  <c:v>29</c:v>
                </c:pt>
                <c:pt idx="29" c:formatCode="General">
                  <c:v>30</c:v>
                </c:pt>
                <c:pt idx="30" c:formatCode="General">
                  <c:v>31</c:v>
                </c:pt>
                <c:pt idx="31" c:formatCode="General">
                  <c:v>32</c:v>
                </c:pt>
                <c:pt idx="32" c:formatCode="General">
                  <c:v>33</c:v>
                </c:pt>
                <c:pt idx="33" c:formatCode="General">
                  <c:v>34</c:v>
                </c:pt>
                <c:pt idx="34" c:formatCode="General">
                  <c:v>35</c:v>
                </c:pt>
                <c:pt idx="35" c:formatCode="General">
                  <c:v>36</c:v>
                </c:pt>
                <c:pt idx="36" c:formatCode="General">
                  <c:v>37</c:v>
                </c:pt>
                <c:pt idx="37" c:formatCode="General">
                  <c:v>38</c:v>
                </c:pt>
                <c:pt idx="38" c:formatCode="General">
                  <c:v>39</c:v>
                </c:pt>
                <c:pt idx="39" c:formatCode="General">
                  <c:v>40</c:v>
                </c:pt>
                <c:pt idx="40" c:formatCode="General">
                  <c:v>41</c:v>
                </c:pt>
                <c:pt idx="41" c:formatCode="General">
                  <c:v>42</c:v>
                </c:pt>
                <c:pt idx="42" c:formatCode="General">
                  <c:v>43</c:v>
                </c:pt>
                <c:pt idx="43" c:formatCode="General">
                  <c:v>44</c:v>
                </c:pt>
                <c:pt idx="44" c:formatCode="General">
                  <c:v>45</c:v>
                </c:pt>
                <c:pt idx="45" c:formatCode="General">
                  <c:v>46</c:v>
                </c:pt>
                <c:pt idx="46" c:formatCode="General">
                  <c:v>47</c:v>
                </c:pt>
                <c:pt idx="47" c:formatCode="General">
                  <c:v>48</c:v>
                </c:pt>
                <c:pt idx="48" c:formatCode="General">
                  <c:v>49</c:v>
                </c:pt>
                <c:pt idx="49" c:formatCode="General">
                  <c:v>50</c:v>
                </c:pt>
                <c:pt idx="50" c:formatCode="General">
                  <c:v>51</c:v>
                </c:pt>
                <c:pt idx="51" c:formatCode="General">
                  <c:v>52</c:v>
                </c:pt>
                <c:pt idx="52" c:formatCode="General">
                  <c:v>53</c:v>
                </c:pt>
                <c:pt idx="53" c:formatCode="General">
                  <c:v>54</c:v>
                </c:pt>
                <c:pt idx="54" c:formatCode="General">
                  <c:v>55</c:v>
                </c:pt>
                <c:pt idx="55" c:formatCode="General">
                  <c:v>56</c:v>
                </c:pt>
                <c:pt idx="56" c:formatCode="General">
                  <c:v>57</c:v>
                </c:pt>
                <c:pt idx="57" c:formatCode="General">
                  <c:v>58</c:v>
                </c:pt>
                <c:pt idx="58" c:formatCode="General">
                  <c:v>59</c:v>
                </c:pt>
                <c:pt idx="59" c:formatCode="General">
                  <c:v>60</c:v>
                </c:pt>
                <c:pt idx="60" c:formatCode="General">
                  <c:v>61</c:v>
                </c:pt>
                <c:pt idx="61" c:formatCode="General">
                  <c:v>62</c:v>
                </c:pt>
                <c:pt idx="62" c:formatCode="General">
                  <c:v>63</c:v>
                </c:pt>
                <c:pt idx="63" c:formatCode="General">
                  <c:v>64</c:v>
                </c:pt>
                <c:pt idx="64" c:formatCode="General">
                  <c:v>65</c:v>
                </c:pt>
                <c:pt idx="65" c:formatCode="General">
                  <c:v>66</c:v>
                </c:pt>
                <c:pt idx="66" c:formatCode="General">
                  <c:v>67</c:v>
                </c:pt>
                <c:pt idx="67" c:formatCode="General">
                  <c:v>68</c:v>
                </c:pt>
                <c:pt idx="68" c:formatCode="General">
                  <c:v>69</c:v>
                </c:pt>
                <c:pt idx="69" c:formatCode="General">
                  <c:v>70</c:v>
                </c:pt>
                <c:pt idx="70" c:formatCode="General">
                  <c:v>71</c:v>
                </c:pt>
                <c:pt idx="71" c:formatCode="General">
                  <c:v>72</c:v>
                </c:pt>
                <c:pt idx="72" c:formatCode="General">
                  <c:v>73</c:v>
                </c:pt>
                <c:pt idx="73" c:formatCode="General">
                  <c:v>74</c:v>
                </c:pt>
                <c:pt idx="74" c:formatCode="General">
                  <c:v>75</c:v>
                </c:pt>
                <c:pt idx="75" c:formatCode="General">
                  <c:v>76</c:v>
                </c:pt>
                <c:pt idx="76" c:formatCode="General">
                  <c:v>77</c:v>
                </c:pt>
                <c:pt idx="77" c:formatCode="General">
                  <c:v>78</c:v>
                </c:pt>
                <c:pt idx="78" c:formatCode="General">
                  <c:v>79</c:v>
                </c:pt>
                <c:pt idx="79" c:formatCode="General">
                  <c:v>80</c:v>
                </c:pt>
                <c:pt idx="80" c:formatCode="General">
                  <c:v>81</c:v>
                </c:pt>
                <c:pt idx="81" c:formatCode="General">
                  <c:v>82</c:v>
                </c:pt>
                <c:pt idx="82" c:formatCode="General">
                  <c:v>83</c:v>
                </c:pt>
                <c:pt idx="83" c:formatCode="General">
                  <c:v>84</c:v>
                </c:pt>
                <c:pt idx="84" c:formatCode="General">
                  <c:v>85</c:v>
                </c:pt>
                <c:pt idx="85" c:formatCode="General">
                  <c:v>86</c:v>
                </c:pt>
                <c:pt idx="86" c:formatCode="General">
                  <c:v>87</c:v>
                </c:pt>
                <c:pt idx="87" c:formatCode="General">
                  <c:v>88</c:v>
                </c:pt>
                <c:pt idx="88" c:formatCode="General">
                  <c:v>89</c:v>
                </c:pt>
                <c:pt idx="89" c:formatCode="General">
                  <c:v>90</c:v>
                </c:pt>
                <c:pt idx="90" c:formatCode="General">
                  <c:v>91</c:v>
                </c:pt>
                <c:pt idx="91" c:formatCode="General">
                  <c:v>92</c:v>
                </c:pt>
                <c:pt idx="92" c:formatCode="General">
                  <c:v>93</c:v>
                </c:pt>
                <c:pt idx="93" c:formatCode="General">
                  <c:v>94</c:v>
                </c:pt>
                <c:pt idx="94" c:formatCode="General">
                  <c:v>95</c:v>
                </c:pt>
                <c:pt idx="95" c:formatCode="General">
                  <c:v>96</c:v>
                </c:pt>
                <c:pt idx="96" c:formatCode="General">
                  <c:v>97</c:v>
                </c:pt>
                <c:pt idx="97" c:formatCode="General">
                  <c:v>98</c:v>
                </c:pt>
                <c:pt idx="98" c:formatCode="General">
                  <c:v>99</c:v>
                </c:pt>
                <c:pt idx="99" c:formatCode="General">
                  <c:v>100</c:v>
                </c:pt>
                <c:pt idx="100" c:formatCode="General">
                  <c:v>101</c:v>
                </c:pt>
                <c:pt idx="101" c:formatCode="General">
                  <c:v>102</c:v>
                </c:pt>
                <c:pt idx="102" c:formatCode="General">
                  <c:v>103</c:v>
                </c:pt>
                <c:pt idx="103" c:formatCode="General">
                  <c:v>104</c:v>
                </c:pt>
                <c:pt idx="104" c:formatCode="General">
                  <c:v>105</c:v>
                </c:pt>
                <c:pt idx="105" c:formatCode="General">
                  <c:v>106</c:v>
                </c:pt>
                <c:pt idx="106" c:formatCode="General">
                  <c:v>107</c:v>
                </c:pt>
                <c:pt idx="107" c:formatCode="General">
                  <c:v>108</c:v>
                </c:pt>
                <c:pt idx="108" c:formatCode="General">
                  <c:v>109</c:v>
                </c:pt>
                <c:pt idx="109" c:formatCode="General">
                  <c:v>110</c:v>
                </c:pt>
                <c:pt idx="110" c:formatCode="General">
                  <c:v>111</c:v>
                </c:pt>
                <c:pt idx="111" c:formatCode="General">
                  <c:v>112</c:v>
                </c:pt>
                <c:pt idx="112" c:formatCode="General">
                  <c:v>113</c:v>
                </c:pt>
                <c:pt idx="113" c:formatCode="General">
                  <c:v>114</c:v>
                </c:pt>
                <c:pt idx="114" c:formatCode="General">
                  <c:v>115</c:v>
                </c:pt>
                <c:pt idx="115" c:formatCode="General">
                  <c:v>116</c:v>
                </c:pt>
                <c:pt idx="116" c:formatCode="General">
                  <c:v>117</c:v>
                </c:pt>
                <c:pt idx="117" c:formatCode="General">
                  <c:v>118</c:v>
                </c:pt>
                <c:pt idx="118" c:formatCode="General">
                  <c:v>119</c:v>
                </c:pt>
                <c:pt idx="119" c:formatCode="General">
                  <c:v>120</c:v>
                </c:pt>
                <c:pt idx="120" c:formatCode="General">
                  <c:v>121</c:v>
                </c:pt>
                <c:pt idx="121" c:formatCode="General">
                  <c:v>122</c:v>
                </c:pt>
                <c:pt idx="122" c:formatCode="General">
                  <c:v>123</c:v>
                </c:pt>
                <c:pt idx="123" c:formatCode="General">
                  <c:v>124</c:v>
                </c:pt>
                <c:pt idx="124" c:formatCode="General">
                  <c:v>125</c:v>
                </c:pt>
                <c:pt idx="125" c:formatCode="General">
                  <c:v>126</c:v>
                </c:pt>
                <c:pt idx="126" c:formatCode="General">
                  <c:v>127</c:v>
                </c:pt>
                <c:pt idx="127" c:formatCode="General">
                  <c:v>128</c:v>
                </c:pt>
                <c:pt idx="128" c:formatCode="General">
                  <c:v>129</c:v>
                </c:pt>
                <c:pt idx="129" c:formatCode="General">
                  <c:v>130</c:v>
                </c:pt>
                <c:pt idx="130" c:formatCode="General">
                  <c:v>131</c:v>
                </c:pt>
                <c:pt idx="131" c:formatCode="General">
                  <c:v>132</c:v>
                </c:pt>
                <c:pt idx="132" c:formatCode="General">
                  <c:v>133</c:v>
                </c:pt>
                <c:pt idx="133" c:formatCode="General">
                  <c:v>134</c:v>
                </c:pt>
                <c:pt idx="134" c:formatCode="General">
                  <c:v>135</c:v>
                </c:pt>
                <c:pt idx="135" c:formatCode="General">
                  <c:v>136</c:v>
                </c:pt>
                <c:pt idx="136" c:formatCode="General">
                  <c:v>137</c:v>
                </c:pt>
                <c:pt idx="137" c:formatCode="General">
                  <c:v>138</c:v>
                </c:pt>
                <c:pt idx="138" c:formatCode="General">
                  <c:v>139</c:v>
                </c:pt>
                <c:pt idx="139" c:formatCode="General">
                  <c:v>140</c:v>
                </c:pt>
                <c:pt idx="140" c:formatCode="General">
                  <c:v>141</c:v>
                </c:pt>
                <c:pt idx="141" c:formatCode="General">
                  <c:v>142</c:v>
                </c:pt>
                <c:pt idx="142" c:formatCode="General">
                  <c:v>143</c:v>
                </c:pt>
                <c:pt idx="143" c:formatCode="General">
                  <c:v>144</c:v>
                </c:pt>
                <c:pt idx="144" c:formatCode="General">
                  <c:v>145</c:v>
                </c:pt>
                <c:pt idx="145" c:formatCode="General">
                  <c:v>146</c:v>
                </c:pt>
                <c:pt idx="146" c:formatCode="General">
                  <c:v>147</c:v>
                </c:pt>
                <c:pt idx="147" c:formatCode="General">
                  <c:v>148</c:v>
                </c:pt>
                <c:pt idx="148" c:formatCode="General">
                  <c:v>149</c:v>
                </c:pt>
                <c:pt idx="149" c:formatCode="General">
                  <c:v>150</c:v>
                </c:pt>
              </c:numCache>
            </c:numRef>
          </c:cat>
          <c:val>
            <c:numRef>
              <c:f>'진행 시뮬'!$D$5:$D$154</c:f>
              <c:numCache>
                <c:formatCode>#,##0</c:formatCode>
                <c:ptCount val="150"/>
                <c:pt idx="0">
                  <c:v>23</c:v>
                </c:pt>
                <c:pt idx="1">
                  <c:v>23</c:v>
                </c:pt>
                <c:pt idx="2">
                  <c:v>43</c:v>
                </c:pt>
                <c:pt idx="3">
                  <c:v>72</c:v>
                </c:pt>
                <c:pt idx="4">
                  <c:v>106</c:v>
                </c:pt>
                <c:pt idx="5">
                  <c:v>144</c:v>
                </c:pt>
                <c:pt idx="6">
                  <c:v>236</c:v>
                </c:pt>
                <c:pt idx="7">
                  <c:v>332</c:v>
                </c:pt>
                <c:pt idx="8">
                  <c:v>407</c:v>
                </c:pt>
                <c:pt idx="9">
                  <c:v>493</c:v>
                </c:pt>
                <c:pt idx="10">
                  <c:v>648</c:v>
                </c:pt>
                <c:pt idx="11">
                  <c:v>821</c:v>
                </c:pt>
                <c:pt idx="12">
                  <c:v>1046</c:v>
                </c:pt>
                <c:pt idx="13">
                  <c:v>1315</c:v>
                </c:pt>
                <c:pt idx="14">
                  <c:v>1653</c:v>
                </c:pt>
                <c:pt idx="15">
                  <c:v>2070</c:v>
                </c:pt>
                <c:pt idx="16">
                  <c:v>2544</c:v>
                </c:pt>
                <c:pt idx="17">
                  <c:v>3011</c:v>
                </c:pt>
                <c:pt idx="18">
                  <c:v>3666</c:v>
                </c:pt>
                <c:pt idx="19">
                  <c:v>4244</c:v>
                </c:pt>
                <c:pt idx="20">
                  <c:v>4925</c:v>
                </c:pt>
                <c:pt idx="21">
                  <c:v>5593</c:v>
                </c:pt>
                <c:pt idx="22">
                  <c:v>6125</c:v>
                </c:pt>
                <c:pt idx="23">
                  <c:v>7015</c:v>
                </c:pt>
                <c:pt idx="24">
                  <c:v>7639</c:v>
                </c:pt>
                <c:pt idx="25">
                  <c:v>8362</c:v>
                </c:pt>
                <c:pt idx="26">
                  <c:v>9068</c:v>
                </c:pt>
                <c:pt idx="27">
                  <c:v>9834</c:v>
                </c:pt>
                <c:pt idx="28">
                  <c:v>10472</c:v>
                </c:pt>
                <c:pt idx="29">
                  <c:v>11227</c:v>
                </c:pt>
                <c:pt idx="30">
                  <c:v>11791</c:v>
                </c:pt>
                <c:pt idx="31">
                  <c:v>12694</c:v>
                </c:pt>
                <c:pt idx="32">
                  <c:v>13372</c:v>
                </c:pt>
                <c:pt idx="33">
                  <c:v>14214</c:v>
                </c:pt>
                <c:pt idx="34">
                  <c:v>14599</c:v>
                </c:pt>
                <c:pt idx="35">
                  <c:v>15247</c:v>
                </c:pt>
                <c:pt idx="36">
                  <c:v>15869</c:v>
                </c:pt>
                <c:pt idx="37">
                  <c:v>16760</c:v>
                </c:pt>
                <c:pt idx="38">
                  <c:v>17431</c:v>
                </c:pt>
                <c:pt idx="39">
                  <c:v>17819</c:v>
                </c:pt>
                <c:pt idx="40">
                  <c:v>18629</c:v>
                </c:pt>
                <c:pt idx="41">
                  <c:v>19360</c:v>
                </c:pt>
                <c:pt idx="42">
                  <c:v>19884</c:v>
                </c:pt>
                <c:pt idx="43">
                  <c:v>20145</c:v>
                </c:pt>
                <c:pt idx="44">
                  <c:v>20814</c:v>
                </c:pt>
                <c:pt idx="45">
                  <c:v>21607</c:v>
                </c:pt>
                <c:pt idx="46">
                  <c:v>22007</c:v>
                </c:pt>
                <c:pt idx="47">
                  <c:v>22549</c:v>
                </c:pt>
                <c:pt idx="48">
                  <c:v>23424</c:v>
                </c:pt>
                <c:pt idx="49">
                  <c:v>23993</c:v>
                </c:pt>
                <c:pt idx="50">
                  <c:v>24298</c:v>
                </c:pt>
                <c:pt idx="51">
                  <c:v>24298</c:v>
                </c:pt>
                <c:pt idx="52">
                  <c:v>25369</c:v>
                </c:pt>
                <c:pt idx="53">
                  <c:v>25822</c:v>
                </c:pt>
                <c:pt idx="54">
                  <c:v>26766</c:v>
                </c:pt>
                <c:pt idx="55">
                  <c:v>26766</c:v>
                </c:pt>
                <c:pt idx="56">
                  <c:v>26940</c:v>
                </c:pt>
                <c:pt idx="57">
                  <c:v>27574</c:v>
                </c:pt>
                <c:pt idx="58">
                  <c:v>28402</c:v>
                </c:pt>
                <c:pt idx="59">
                  <c:v>29066</c:v>
                </c:pt>
                <c:pt idx="60">
                  <c:v>29245</c:v>
                </c:pt>
                <c:pt idx="61">
                  <c:v>29245</c:v>
                </c:pt>
                <c:pt idx="62">
                  <c:v>30110</c:v>
                </c:pt>
                <c:pt idx="63">
                  <c:v>30804</c:v>
                </c:pt>
                <c:pt idx="64">
                  <c:v>31359</c:v>
                </c:pt>
                <c:pt idx="65">
                  <c:v>31359</c:v>
                </c:pt>
                <c:pt idx="66">
                  <c:v>32073</c:v>
                </c:pt>
                <c:pt idx="67">
                  <c:v>32617</c:v>
                </c:pt>
                <c:pt idx="68">
                  <c:v>32617</c:v>
                </c:pt>
                <c:pt idx="69">
                  <c:v>32617</c:v>
                </c:pt>
                <c:pt idx="70">
                  <c:v>33751</c:v>
                </c:pt>
                <c:pt idx="71">
                  <c:v>33939</c:v>
                </c:pt>
                <c:pt idx="72">
                  <c:v>34505</c:v>
                </c:pt>
                <c:pt idx="73">
                  <c:v>35275</c:v>
                </c:pt>
                <c:pt idx="74">
                  <c:v>35690</c:v>
                </c:pt>
                <c:pt idx="75">
                  <c:v>35690</c:v>
                </c:pt>
                <c:pt idx="76">
                  <c:v>35883</c:v>
                </c:pt>
                <c:pt idx="77">
                  <c:v>35883</c:v>
                </c:pt>
                <c:pt idx="78">
                  <c:v>36674</c:v>
                </c:pt>
                <c:pt idx="79">
                  <c:v>37100</c:v>
                </c:pt>
                <c:pt idx="80">
                  <c:v>37709</c:v>
                </c:pt>
                <c:pt idx="81">
                  <c:v>37709</c:v>
                </c:pt>
                <c:pt idx="82">
                  <c:v>38534</c:v>
                </c:pt>
                <c:pt idx="83">
                  <c:v>38534</c:v>
                </c:pt>
                <c:pt idx="84">
                  <c:v>38534</c:v>
                </c:pt>
                <c:pt idx="85">
                  <c:v>39177</c:v>
                </c:pt>
                <c:pt idx="86">
                  <c:v>39177</c:v>
                </c:pt>
                <c:pt idx="87">
                  <c:v>40025</c:v>
                </c:pt>
                <c:pt idx="88">
                  <c:v>40670</c:v>
                </c:pt>
                <c:pt idx="89">
                  <c:v>41134</c:v>
                </c:pt>
                <c:pt idx="90">
                  <c:v>41336</c:v>
                </c:pt>
                <c:pt idx="91">
                  <c:v>41336</c:v>
                </c:pt>
                <c:pt idx="92">
                  <c:v>42220</c:v>
                </c:pt>
                <c:pt idx="93">
                  <c:v>42220</c:v>
                </c:pt>
                <c:pt idx="94">
                  <c:v>42220</c:v>
                </c:pt>
                <c:pt idx="95">
                  <c:v>42220</c:v>
                </c:pt>
                <c:pt idx="96">
                  <c:v>42696</c:v>
                </c:pt>
                <c:pt idx="97">
                  <c:v>43374</c:v>
                </c:pt>
                <c:pt idx="98">
                  <c:v>43374</c:v>
                </c:pt>
                <c:pt idx="99">
                  <c:v>44296</c:v>
                </c:pt>
                <c:pt idx="100">
                  <c:v>44502</c:v>
                </c:pt>
                <c:pt idx="101">
                  <c:v>44998</c:v>
                </c:pt>
                <c:pt idx="102">
                  <c:v>44998</c:v>
                </c:pt>
                <c:pt idx="103">
                  <c:v>44998</c:v>
                </c:pt>
                <c:pt idx="104">
                  <c:v>45944</c:v>
                </c:pt>
                <c:pt idx="105">
                  <c:v>45944</c:v>
                </c:pt>
                <c:pt idx="106">
                  <c:v>45944</c:v>
                </c:pt>
                <c:pt idx="107">
                  <c:v>45944</c:v>
                </c:pt>
                <c:pt idx="108">
                  <c:v>46661</c:v>
                </c:pt>
                <c:pt idx="109">
                  <c:v>46661</c:v>
                </c:pt>
                <c:pt idx="110">
                  <c:v>47388</c:v>
                </c:pt>
                <c:pt idx="111">
                  <c:v>47388</c:v>
                </c:pt>
                <c:pt idx="112">
                  <c:v>47388</c:v>
                </c:pt>
                <c:pt idx="113">
                  <c:v>48373</c:v>
                </c:pt>
                <c:pt idx="114">
                  <c:v>48373</c:v>
                </c:pt>
                <c:pt idx="115">
                  <c:v>49118</c:v>
                </c:pt>
                <c:pt idx="116">
                  <c:v>49118</c:v>
                </c:pt>
                <c:pt idx="117">
                  <c:v>49118</c:v>
                </c:pt>
                <c:pt idx="118">
                  <c:v>49118</c:v>
                </c:pt>
                <c:pt idx="119">
                  <c:v>49118</c:v>
                </c:pt>
                <c:pt idx="120">
                  <c:v>49654</c:v>
                </c:pt>
                <c:pt idx="121">
                  <c:v>49654</c:v>
                </c:pt>
                <c:pt idx="122">
                  <c:v>49654</c:v>
                </c:pt>
                <c:pt idx="123">
                  <c:v>50895</c:v>
                </c:pt>
                <c:pt idx="124">
                  <c:v>50895</c:v>
                </c:pt>
                <c:pt idx="125">
                  <c:v>50895</c:v>
                </c:pt>
                <c:pt idx="126">
                  <c:v>51933</c:v>
                </c:pt>
                <c:pt idx="127">
                  <c:v>51933</c:v>
                </c:pt>
                <c:pt idx="128">
                  <c:v>52496</c:v>
                </c:pt>
                <c:pt idx="129">
                  <c:v>52496</c:v>
                </c:pt>
                <c:pt idx="130">
                  <c:v>53291</c:v>
                </c:pt>
                <c:pt idx="131">
                  <c:v>53291</c:v>
                </c:pt>
                <c:pt idx="132">
                  <c:v>53291</c:v>
                </c:pt>
                <c:pt idx="133">
                  <c:v>53291</c:v>
                </c:pt>
                <c:pt idx="134">
                  <c:v>53291</c:v>
                </c:pt>
                <c:pt idx="135">
                  <c:v>53512</c:v>
                </c:pt>
                <c:pt idx="136">
                  <c:v>53512</c:v>
                </c:pt>
                <c:pt idx="137">
                  <c:v>53512</c:v>
                </c:pt>
                <c:pt idx="138">
                  <c:v>54591</c:v>
                </c:pt>
                <c:pt idx="139">
                  <c:v>54591</c:v>
                </c:pt>
                <c:pt idx="140">
                  <c:v>55176</c:v>
                </c:pt>
                <c:pt idx="141">
                  <c:v>55176</c:v>
                </c:pt>
                <c:pt idx="142">
                  <c:v>55176</c:v>
                </c:pt>
                <c:pt idx="143">
                  <c:v>55176</c:v>
                </c:pt>
                <c:pt idx="144">
                  <c:v>56282</c:v>
                </c:pt>
                <c:pt idx="145">
                  <c:v>56282</c:v>
                </c:pt>
                <c:pt idx="146">
                  <c:v>56282</c:v>
                </c:pt>
                <c:pt idx="147">
                  <c:v>57122</c:v>
                </c:pt>
                <c:pt idx="148">
                  <c:v>57122</c:v>
                </c:pt>
                <c:pt idx="149">
                  <c:v>57730</c:v>
                </c:pt>
              </c:numCache>
            </c:numRef>
          </c:val>
          <c:smooth val="1"/>
        </c:ser>
        <c:ser>
          <c:idx val="2"/>
          <c:order val="2"/>
          <c:tx>
            <c:strRef>
              <c:f>'진행 시뮬'!$E$4</c:f>
              <c:strCache>
                <c:ptCount val="1"/>
                <c:pt idx="0">
                  <c:v>거리 — 광고 100%</c:v>
                </c:pt>
              </c:strCache>
            </c:strRef>
          </c:tx>
          <c:spPr>
            <a:ln w="28440" cap="rnd" cmpd="sng" algn="ctr">
              <a:solidFill>
                <a:srgbClr val="98B855"/>
              </a:solidFill>
              <a:prstDash val="solid"/>
              <a:round/>
            </a:ln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0" vertOverflow="ellipsis" vert="horz" wrap="none" lIns="38100" tIns="19050" rIns="38100" bIns="19050" anchor="ctr" anchorCtr="1"/>
              <a:lstStyle/>
              <a:p>
                <a:pPr>
                  <a:defRPr lang="ko-KR" sz="1000" b="0" i="0" u="none" strike="noStrike" kern="1200" spc="-1" baseline="0">
                    <a:solidFill>
                      <a:schemeClr val="tx1"/>
                    </a:solidFill>
                    <a:latin typeface="Arial" panose="020B0604020202020204"/>
                    <a:ea typeface="+mn-ea"/>
                    <a:cs typeface="+mn-cs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howBubbleSize val="1"/>
            <c:separator> </c:separator>
            <c:showLeaderLines val="0"/>
            <c:extLst>
              <c:ext xmlns:c15="http://schemas.microsoft.com/office/drawing/2012/chart" uri="{CE6537A1-D6FC-4f65-9D91-7224C49458BB}">
                <c15:layout/>
                <c15:showLeaderLines val="1"/>
                <c15:leaderLines/>
              </c:ext>
            </c:extLst>
          </c:dLbls>
          <c:cat>
            <c:numRef>
              <c:f>'진행 시뮬'!$A$5:$A$154</c:f>
              <c:numCache>
                <c:formatCode>General</c:formatCode>
                <c:ptCount val="150"/>
                <c:pt idx="0" c:formatCode="General">
                  <c:v>1</c:v>
                </c:pt>
                <c:pt idx="1" c:formatCode="General">
                  <c:v>2</c:v>
                </c:pt>
                <c:pt idx="2" c:formatCode="General">
                  <c:v>3</c:v>
                </c:pt>
                <c:pt idx="3" c:formatCode="General">
                  <c:v>4</c:v>
                </c:pt>
                <c:pt idx="4" c:formatCode="General">
                  <c:v>5</c:v>
                </c:pt>
                <c:pt idx="5" c:formatCode="General">
                  <c:v>6</c:v>
                </c:pt>
                <c:pt idx="6" c:formatCode="General">
                  <c:v>7</c:v>
                </c:pt>
                <c:pt idx="7" c:formatCode="General">
                  <c:v>8</c:v>
                </c:pt>
                <c:pt idx="8" c:formatCode="General">
                  <c:v>9</c:v>
                </c:pt>
                <c:pt idx="9" c:formatCode="General">
                  <c:v>10</c:v>
                </c:pt>
                <c:pt idx="10" c:formatCode="General">
                  <c:v>11</c:v>
                </c:pt>
                <c:pt idx="11" c:formatCode="General">
                  <c:v>12</c:v>
                </c:pt>
                <c:pt idx="12" c:formatCode="General">
                  <c:v>13</c:v>
                </c:pt>
                <c:pt idx="13" c:formatCode="General">
                  <c:v>14</c:v>
                </c:pt>
                <c:pt idx="14" c:formatCode="General">
                  <c:v>15</c:v>
                </c:pt>
                <c:pt idx="15" c:formatCode="General">
                  <c:v>16</c:v>
                </c:pt>
                <c:pt idx="16" c:formatCode="General">
                  <c:v>17</c:v>
                </c:pt>
                <c:pt idx="17" c:formatCode="General">
                  <c:v>18</c:v>
                </c:pt>
                <c:pt idx="18" c:formatCode="General">
                  <c:v>19</c:v>
                </c:pt>
                <c:pt idx="19" c:formatCode="General">
                  <c:v>20</c:v>
                </c:pt>
                <c:pt idx="20" c:formatCode="General">
                  <c:v>21</c:v>
                </c:pt>
                <c:pt idx="21" c:formatCode="General">
                  <c:v>22</c:v>
                </c:pt>
                <c:pt idx="22" c:formatCode="General">
                  <c:v>23</c:v>
                </c:pt>
                <c:pt idx="23" c:formatCode="General">
                  <c:v>24</c:v>
                </c:pt>
                <c:pt idx="24" c:formatCode="General">
                  <c:v>25</c:v>
                </c:pt>
                <c:pt idx="25" c:formatCode="General">
                  <c:v>26</c:v>
                </c:pt>
                <c:pt idx="26" c:formatCode="General">
                  <c:v>27</c:v>
                </c:pt>
                <c:pt idx="27" c:formatCode="General">
                  <c:v>28</c:v>
                </c:pt>
                <c:pt idx="28" c:formatCode="General">
                  <c:v>29</c:v>
                </c:pt>
                <c:pt idx="29" c:formatCode="General">
                  <c:v>30</c:v>
                </c:pt>
                <c:pt idx="30" c:formatCode="General">
                  <c:v>31</c:v>
                </c:pt>
                <c:pt idx="31" c:formatCode="General">
                  <c:v>32</c:v>
                </c:pt>
                <c:pt idx="32" c:formatCode="General">
                  <c:v>33</c:v>
                </c:pt>
                <c:pt idx="33" c:formatCode="General">
                  <c:v>34</c:v>
                </c:pt>
                <c:pt idx="34" c:formatCode="General">
                  <c:v>35</c:v>
                </c:pt>
                <c:pt idx="35" c:formatCode="General">
                  <c:v>36</c:v>
                </c:pt>
                <c:pt idx="36" c:formatCode="General">
                  <c:v>37</c:v>
                </c:pt>
                <c:pt idx="37" c:formatCode="General">
                  <c:v>38</c:v>
                </c:pt>
                <c:pt idx="38" c:formatCode="General">
                  <c:v>39</c:v>
                </c:pt>
                <c:pt idx="39" c:formatCode="General">
                  <c:v>40</c:v>
                </c:pt>
                <c:pt idx="40" c:formatCode="General">
                  <c:v>41</c:v>
                </c:pt>
                <c:pt idx="41" c:formatCode="General">
                  <c:v>42</c:v>
                </c:pt>
                <c:pt idx="42" c:formatCode="General">
                  <c:v>43</c:v>
                </c:pt>
                <c:pt idx="43" c:formatCode="General">
                  <c:v>44</c:v>
                </c:pt>
                <c:pt idx="44" c:formatCode="General">
                  <c:v>45</c:v>
                </c:pt>
                <c:pt idx="45" c:formatCode="General">
                  <c:v>46</c:v>
                </c:pt>
                <c:pt idx="46" c:formatCode="General">
                  <c:v>47</c:v>
                </c:pt>
                <c:pt idx="47" c:formatCode="General">
                  <c:v>48</c:v>
                </c:pt>
                <c:pt idx="48" c:formatCode="General">
                  <c:v>49</c:v>
                </c:pt>
                <c:pt idx="49" c:formatCode="General">
                  <c:v>50</c:v>
                </c:pt>
                <c:pt idx="50" c:formatCode="General">
                  <c:v>51</c:v>
                </c:pt>
                <c:pt idx="51" c:formatCode="General">
                  <c:v>52</c:v>
                </c:pt>
                <c:pt idx="52" c:formatCode="General">
                  <c:v>53</c:v>
                </c:pt>
                <c:pt idx="53" c:formatCode="General">
                  <c:v>54</c:v>
                </c:pt>
                <c:pt idx="54" c:formatCode="General">
                  <c:v>55</c:v>
                </c:pt>
                <c:pt idx="55" c:formatCode="General">
                  <c:v>56</c:v>
                </c:pt>
                <c:pt idx="56" c:formatCode="General">
                  <c:v>57</c:v>
                </c:pt>
                <c:pt idx="57" c:formatCode="General">
                  <c:v>58</c:v>
                </c:pt>
                <c:pt idx="58" c:formatCode="General">
                  <c:v>59</c:v>
                </c:pt>
                <c:pt idx="59" c:formatCode="General">
                  <c:v>60</c:v>
                </c:pt>
                <c:pt idx="60" c:formatCode="General">
                  <c:v>61</c:v>
                </c:pt>
                <c:pt idx="61" c:formatCode="General">
                  <c:v>62</c:v>
                </c:pt>
                <c:pt idx="62" c:formatCode="General">
                  <c:v>63</c:v>
                </c:pt>
                <c:pt idx="63" c:formatCode="General">
                  <c:v>64</c:v>
                </c:pt>
                <c:pt idx="64" c:formatCode="General">
                  <c:v>65</c:v>
                </c:pt>
                <c:pt idx="65" c:formatCode="General">
                  <c:v>66</c:v>
                </c:pt>
                <c:pt idx="66" c:formatCode="General">
                  <c:v>67</c:v>
                </c:pt>
                <c:pt idx="67" c:formatCode="General">
                  <c:v>68</c:v>
                </c:pt>
                <c:pt idx="68" c:formatCode="General">
                  <c:v>69</c:v>
                </c:pt>
                <c:pt idx="69" c:formatCode="General">
                  <c:v>70</c:v>
                </c:pt>
                <c:pt idx="70" c:formatCode="General">
                  <c:v>71</c:v>
                </c:pt>
                <c:pt idx="71" c:formatCode="General">
                  <c:v>72</c:v>
                </c:pt>
                <c:pt idx="72" c:formatCode="General">
                  <c:v>73</c:v>
                </c:pt>
                <c:pt idx="73" c:formatCode="General">
                  <c:v>74</c:v>
                </c:pt>
                <c:pt idx="74" c:formatCode="General">
                  <c:v>75</c:v>
                </c:pt>
                <c:pt idx="75" c:formatCode="General">
                  <c:v>76</c:v>
                </c:pt>
                <c:pt idx="76" c:formatCode="General">
                  <c:v>77</c:v>
                </c:pt>
                <c:pt idx="77" c:formatCode="General">
                  <c:v>78</c:v>
                </c:pt>
                <c:pt idx="78" c:formatCode="General">
                  <c:v>79</c:v>
                </c:pt>
                <c:pt idx="79" c:formatCode="General">
                  <c:v>80</c:v>
                </c:pt>
                <c:pt idx="80" c:formatCode="General">
                  <c:v>81</c:v>
                </c:pt>
                <c:pt idx="81" c:formatCode="General">
                  <c:v>82</c:v>
                </c:pt>
                <c:pt idx="82" c:formatCode="General">
                  <c:v>83</c:v>
                </c:pt>
                <c:pt idx="83" c:formatCode="General">
                  <c:v>84</c:v>
                </c:pt>
                <c:pt idx="84" c:formatCode="General">
                  <c:v>85</c:v>
                </c:pt>
                <c:pt idx="85" c:formatCode="General">
                  <c:v>86</c:v>
                </c:pt>
                <c:pt idx="86" c:formatCode="General">
                  <c:v>87</c:v>
                </c:pt>
                <c:pt idx="87" c:formatCode="General">
                  <c:v>88</c:v>
                </c:pt>
                <c:pt idx="88" c:formatCode="General">
                  <c:v>89</c:v>
                </c:pt>
                <c:pt idx="89" c:formatCode="General">
                  <c:v>90</c:v>
                </c:pt>
                <c:pt idx="90" c:formatCode="General">
                  <c:v>91</c:v>
                </c:pt>
                <c:pt idx="91" c:formatCode="General">
                  <c:v>92</c:v>
                </c:pt>
                <c:pt idx="92" c:formatCode="General">
                  <c:v>93</c:v>
                </c:pt>
                <c:pt idx="93" c:formatCode="General">
                  <c:v>94</c:v>
                </c:pt>
                <c:pt idx="94" c:formatCode="General">
                  <c:v>95</c:v>
                </c:pt>
                <c:pt idx="95" c:formatCode="General">
                  <c:v>96</c:v>
                </c:pt>
                <c:pt idx="96" c:formatCode="General">
                  <c:v>97</c:v>
                </c:pt>
                <c:pt idx="97" c:formatCode="General">
                  <c:v>98</c:v>
                </c:pt>
                <c:pt idx="98" c:formatCode="General">
                  <c:v>99</c:v>
                </c:pt>
                <c:pt idx="99" c:formatCode="General">
                  <c:v>100</c:v>
                </c:pt>
                <c:pt idx="100" c:formatCode="General">
                  <c:v>101</c:v>
                </c:pt>
                <c:pt idx="101" c:formatCode="General">
                  <c:v>102</c:v>
                </c:pt>
                <c:pt idx="102" c:formatCode="General">
                  <c:v>103</c:v>
                </c:pt>
                <c:pt idx="103" c:formatCode="General">
                  <c:v>104</c:v>
                </c:pt>
                <c:pt idx="104" c:formatCode="General">
                  <c:v>105</c:v>
                </c:pt>
                <c:pt idx="105" c:formatCode="General">
                  <c:v>106</c:v>
                </c:pt>
                <c:pt idx="106" c:formatCode="General">
                  <c:v>107</c:v>
                </c:pt>
                <c:pt idx="107" c:formatCode="General">
                  <c:v>108</c:v>
                </c:pt>
                <c:pt idx="108" c:formatCode="General">
                  <c:v>109</c:v>
                </c:pt>
                <c:pt idx="109" c:formatCode="General">
                  <c:v>110</c:v>
                </c:pt>
                <c:pt idx="110" c:formatCode="General">
                  <c:v>111</c:v>
                </c:pt>
                <c:pt idx="111" c:formatCode="General">
                  <c:v>112</c:v>
                </c:pt>
                <c:pt idx="112" c:formatCode="General">
                  <c:v>113</c:v>
                </c:pt>
                <c:pt idx="113" c:formatCode="General">
                  <c:v>114</c:v>
                </c:pt>
                <c:pt idx="114" c:formatCode="General">
                  <c:v>115</c:v>
                </c:pt>
                <c:pt idx="115" c:formatCode="General">
                  <c:v>116</c:v>
                </c:pt>
                <c:pt idx="116" c:formatCode="General">
                  <c:v>117</c:v>
                </c:pt>
                <c:pt idx="117" c:formatCode="General">
                  <c:v>118</c:v>
                </c:pt>
                <c:pt idx="118" c:formatCode="General">
                  <c:v>119</c:v>
                </c:pt>
                <c:pt idx="119" c:formatCode="General">
                  <c:v>120</c:v>
                </c:pt>
                <c:pt idx="120" c:formatCode="General">
                  <c:v>121</c:v>
                </c:pt>
                <c:pt idx="121" c:formatCode="General">
                  <c:v>122</c:v>
                </c:pt>
                <c:pt idx="122" c:formatCode="General">
                  <c:v>123</c:v>
                </c:pt>
                <c:pt idx="123" c:formatCode="General">
                  <c:v>124</c:v>
                </c:pt>
                <c:pt idx="124" c:formatCode="General">
                  <c:v>125</c:v>
                </c:pt>
                <c:pt idx="125" c:formatCode="General">
                  <c:v>126</c:v>
                </c:pt>
                <c:pt idx="126" c:formatCode="General">
                  <c:v>127</c:v>
                </c:pt>
                <c:pt idx="127" c:formatCode="General">
                  <c:v>128</c:v>
                </c:pt>
                <c:pt idx="128" c:formatCode="General">
                  <c:v>129</c:v>
                </c:pt>
                <c:pt idx="129" c:formatCode="General">
                  <c:v>130</c:v>
                </c:pt>
                <c:pt idx="130" c:formatCode="General">
                  <c:v>131</c:v>
                </c:pt>
                <c:pt idx="131" c:formatCode="General">
                  <c:v>132</c:v>
                </c:pt>
                <c:pt idx="132" c:formatCode="General">
                  <c:v>133</c:v>
                </c:pt>
                <c:pt idx="133" c:formatCode="General">
                  <c:v>134</c:v>
                </c:pt>
                <c:pt idx="134" c:formatCode="General">
                  <c:v>135</c:v>
                </c:pt>
                <c:pt idx="135" c:formatCode="General">
                  <c:v>136</c:v>
                </c:pt>
                <c:pt idx="136" c:formatCode="General">
                  <c:v>137</c:v>
                </c:pt>
                <c:pt idx="137" c:formatCode="General">
                  <c:v>138</c:v>
                </c:pt>
                <c:pt idx="138" c:formatCode="General">
                  <c:v>139</c:v>
                </c:pt>
                <c:pt idx="139" c:formatCode="General">
                  <c:v>140</c:v>
                </c:pt>
                <c:pt idx="140" c:formatCode="General">
                  <c:v>141</c:v>
                </c:pt>
                <c:pt idx="141" c:formatCode="General">
                  <c:v>142</c:v>
                </c:pt>
                <c:pt idx="142" c:formatCode="General">
                  <c:v>143</c:v>
                </c:pt>
                <c:pt idx="143" c:formatCode="General">
                  <c:v>144</c:v>
                </c:pt>
                <c:pt idx="144" c:formatCode="General">
                  <c:v>145</c:v>
                </c:pt>
                <c:pt idx="145" c:formatCode="General">
                  <c:v>146</c:v>
                </c:pt>
                <c:pt idx="146" c:formatCode="General">
                  <c:v>147</c:v>
                </c:pt>
                <c:pt idx="147" c:formatCode="General">
                  <c:v>148</c:v>
                </c:pt>
                <c:pt idx="148" c:formatCode="General">
                  <c:v>149</c:v>
                </c:pt>
                <c:pt idx="149" c:formatCode="General">
                  <c:v>150</c:v>
                </c:pt>
              </c:numCache>
            </c:numRef>
          </c:cat>
          <c:val>
            <c:numRef>
              <c:f>'진행 시뮬'!$E$5:$E$154</c:f>
              <c:numCache>
                <c:formatCode>#,##0</c:formatCode>
                <c:ptCount val="150"/>
                <c:pt idx="0">
                  <c:v>23</c:v>
                </c:pt>
                <c:pt idx="1">
                  <c:v>23</c:v>
                </c:pt>
                <c:pt idx="2">
                  <c:v>43</c:v>
                </c:pt>
                <c:pt idx="3">
                  <c:v>72</c:v>
                </c:pt>
                <c:pt idx="4">
                  <c:v>144</c:v>
                </c:pt>
                <c:pt idx="5">
                  <c:v>263</c:v>
                </c:pt>
                <c:pt idx="6">
                  <c:v>345</c:v>
                </c:pt>
                <c:pt idx="7">
                  <c:v>493</c:v>
                </c:pt>
                <c:pt idx="8">
                  <c:v>731</c:v>
                </c:pt>
                <c:pt idx="9">
                  <c:v>1005</c:v>
                </c:pt>
                <c:pt idx="10">
                  <c:v>1442</c:v>
                </c:pt>
                <c:pt idx="11">
                  <c:v>1955</c:v>
                </c:pt>
                <c:pt idx="12">
                  <c:v>2690</c:v>
                </c:pt>
                <c:pt idx="13">
                  <c:v>3357</c:v>
                </c:pt>
                <c:pt idx="14">
                  <c:v>4392</c:v>
                </c:pt>
                <c:pt idx="15">
                  <c:v>5194</c:v>
                </c:pt>
                <c:pt idx="16">
                  <c:v>6322</c:v>
                </c:pt>
                <c:pt idx="17">
                  <c:v>7349</c:v>
                </c:pt>
                <c:pt idx="18">
                  <c:v>8362</c:v>
                </c:pt>
                <c:pt idx="19">
                  <c:v>9410</c:v>
                </c:pt>
                <c:pt idx="20">
                  <c:v>10628</c:v>
                </c:pt>
                <c:pt idx="21">
                  <c:v>11546</c:v>
                </c:pt>
                <c:pt idx="22">
                  <c:v>12694</c:v>
                </c:pt>
                <c:pt idx="23">
                  <c:v>13930</c:v>
                </c:pt>
                <c:pt idx="24">
                  <c:v>14804</c:v>
                </c:pt>
                <c:pt idx="25">
                  <c:v>15869</c:v>
                </c:pt>
                <c:pt idx="26">
                  <c:v>16760</c:v>
                </c:pt>
                <c:pt idx="27">
                  <c:v>17819</c:v>
                </c:pt>
                <c:pt idx="28">
                  <c:v>18629</c:v>
                </c:pt>
                <c:pt idx="29">
                  <c:v>19884</c:v>
                </c:pt>
                <c:pt idx="30">
                  <c:v>20145</c:v>
                </c:pt>
                <c:pt idx="31">
                  <c:v>21607</c:v>
                </c:pt>
                <c:pt idx="32">
                  <c:v>22007</c:v>
                </c:pt>
                <c:pt idx="33">
                  <c:v>23005</c:v>
                </c:pt>
                <c:pt idx="34">
                  <c:v>24298</c:v>
                </c:pt>
                <c:pt idx="35">
                  <c:v>24298</c:v>
                </c:pt>
                <c:pt idx="36">
                  <c:v>25369</c:v>
                </c:pt>
                <c:pt idx="37">
                  <c:v>26437</c:v>
                </c:pt>
                <c:pt idx="38">
                  <c:v>26940</c:v>
                </c:pt>
                <c:pt idx="39">
                  <c:v>27574</c:v>
                </c:pt>
                <c:pt idx="40">
                  <c:v>28402</c:v>
                </c:pt>
                <c:pt idx="41">
                  <c:v>29245</c:v>
                </c:pt>
                <c:pt idx="42">
                  <c:v>29749</c:v>
                </c:pt>
                <c:pt idx="43">
                  <c:v>30804</c:v>
                </c:pt>
                <c:pt idx="44">
                  <c:v>31359</c:v>
                </c:pt>
                <c:pt idx="45">
                  <c:v>32073</c:v>
                </c:pt>
                <c:pt idx="46">
                  <c:v>32617</c:v>
                </c:pt>
                <c:pt idx="47">
                  <c:v>33353</c:v>
                </c:pt>
                <c:pt idx="48">
                  <c:v>33939</c:v>
                </c:pt>
                <c:pt idx="49">
                  <c:v>34505</c:v>
                </c:pt>
                <c:pt idx="50">
                  <c:v>35690</c:v>
                </c:pt>
                <c:pt idx="51">
                  <c:v>35690</c:v>
                </c:pt>
                <c:pt idx="52">
                  <c:v>35883</c:v>
                </c:pt>
                <c:pt idx="53">
                  <c:v>37100</c:v>
                </c:pt>
                <c:pt idx="54">
                  <c:v>37709</c:v>
                </c:pt>
                <c:pt idx="55">
                  <c:v>38534</c:v>
                </c:pt>
                <c:pt idx="56">
                  <c:v>38534</c:v>
                </c:pt>
                <c:pt idx="57">
                  <c:v>38979</c:v>
                </c:pt>
                <c:pt idx="58">
                  <c:v>39177</c:v>
                </c:pt>
                <c:pt idx="59">
                  <c:v>40025</c:v>
                </c:pt>
                <c:pt idx="60">
                  <c:v>41134</c:v>
                </c:pt>
                <c:pt idx="61">
                  <c:v>41336</c:v>
                </c:pt>
                <c:pt idx="62">
                  <c:v>42220</c:v>
                </c:pt>
                <c:pt idx="63">
                  <c:v>42220</c:v>
                </c:pt>
                <c:pt idx="64">
                  <c:v>42696</c:v>
                </c:pt>
                <c:pt idx="65">
                  <c:v>43374</c:v>
                </c:pt>
                <c:pt idx="66">
                  <c:v>43374</c:v>
                </c:pt>
                <c:pt idx="67">
                  <c:v>44502</c:v>
                </c:pt>
                <c:pt idx="68">
                  <c:v>44998</c:v>
                </c:pt>
                <c:pt idx="69">
                  <c:v>44998</c:v>
                </c:pt>
                <c:pt idx="70">
                  <c:v>45944</c:v>
                </c:pt>
                <c:pt idx="71">
                  <c:v>45944</c:v>
                </c:pt>
                <c:pt idx="72">
                  <c:v>45944</c:v>
                </c:pt>
                <c:pt idx="73">
                  <c:v>47177</c:v>
                </c:pt>
                <c:pt idx="74">
                  <c:v>47388</c:v>
                </c:pt>
                <c:pt idx="75">
                  <c:v>47388</c:v>
                </c:pt>
                <c:pt idx="76">
                  <c:v>48373</c:v>
                </c:pt>
                <c:pt idx="77">
                  <c:v>49118</c:v>
                </c:pt>
                <c:pt idx="78">
                  <c:v>49118</c:v>
                </c:pt>
                <c:pt idx="79">
                  <c:v>49118</c:v>
                </c:pt>
                <c:pt idx="80">
                  <c:v>49654</c:v>
                </c:pt>
                <c:pt idx="81">
                  <c:v>49654</c:v>
                </c:pt>
                <c:pt idx="82">
                  <c:v>50895</c:v>
                </c:pt>
                <c:pt idx="83">
                  <c:v>50895</c:v>
                </c:pt>
                <c:pt idx="84">
                  <c:v>51933</c:v>
                </c:pt>
                <c:pt idx="85">
                  <c:v>52496</c:v>
                </c:pt>
                <c:pt idx="86">
                  <c:v>52496</c:v>
                </c:pt>
                <c:pt idx="87">
                  <c:v>53291</c:v>
                </c:pt>
                <c:pt idx="88">
                  <c:v>53291</c:v>
                </c:pt>
                <c:pt idx="89">
                  <c:v>53291</c:v>
                </c:pt>
                <c:pt idx="90">
                  <c:v>53512</c:v>
                </c:pt>
                <c:pt idx="91">
                  <c:v>53512</c:v>
                </c:pt>
                <c:pt idx="92">
                  <c:v>54591</c:v>
                </c:pt>
                <c:pt idx="93">
                  <c:v>55176</c:v>
                </c:pt>
                <c:pt idx="94">
                  <c:v>55176</c:v>
                </c:pt>
                <c:pt idx="95">
                  <c:v>55176</c:v>
                </c:pt>
                <c:pt idx="96">
                  <c:v>56282</c:v>
                </c:pt>
                <c:pt idx="97">
                  <c:v>56282</c:v>
                </c:pt>
                <c:pt idx="98">
                  <c:v>57122</c:v>
                </c:pt>
                <c:pt idx="99">
                  <c:v>57730</c:v>
                </c:pt>
                <c:pt idx="100">
                  <c:v>57955</c:v>
                </c:pt>
                <c:pt idx="101">
                  <c:v>57955</c:v>
                </c:pt>
                <c:pt idx="102">
                  <c:v>57955</c:v>
                </c:pt>
                <c:pt idx="103">
                  <c:v>57955</c:v>
                </c:pt>
                <c:pt idx="104">
                  <c:v>57955</c:v>
                </c:pt>
                <c:pt idx="105">
                  <c:v>59105</c:v>
                </c:pt>
                <c:pt idx="106">
                  <c:v>59726</c:v>
                </c:pt>
                <c:pt idx="107">
                  <c:v>59726</c:v>
                </c:pt>
                <c:pt idx="108">
                  <c:v>59726</c:v>
                </c:pt>
                <c:pt idx="109">
                  <c:v>60834</c:v>
                </c:pt>
                <c:pt idx="110">
                  <c:v>60834</c:v>
                </c:pt>
                <c:pt idx="111">
                  <c:v>60834</c:v>
                </c:pt>
                <c:pt idx="112">
                  <c:v>62029</c:v>
                </c:pt>
                <c:pt idx="113">
                  <c:v>62029</c:v>
                </c:pt>
                <c:pt idx="114">
                  <c:v>62674</c:v>
                </c:pt>
                <c:pt idx="115">
                  <c:v>62674</c:v>
                </c:pt>
                <c:pt idx="116">
                  <c:v>62674</c:v>
                </c:pt>
                <c:pt idx="117">
                  <c:v>62674</c:v>
                </c:pt>
                <c:pt idx="118">
                  <c:v>62674</c:v>
                </c:pt>
                <c:pt idx="119">
                  <c:v>62674</c:v>
                </c:pt>
                <c:pt idx="120">
                  <c:v>63896</c:v>
                </c:pt>
                <c:pt idx="121">
                  <c:v>63896</c:v>
                </c:pt>
                <c:pt idx="122">
                  <c:v>63896</c:v>
                </c:pt>
                <c:pt idx="123">
                  <c:v>65057</c:v>
                </c:pt>
                <c:pt idx="124">
                  <c:v>65057</c:v>
                </c:pt>
                <c:pt idx="125">
                  <c:v>65726</c:v>
                </c:pt>
                <c:pt idx="126">
                  <c:v>65726</c:v>
                </c:pt>
                <c:pt idx="127">
                  <c:v>65726</c:v>
                </c:pt>
                <c:pt idx="128">
                  <c:v>66995</c:v>
                </c:pt>
                <c:pt idx="129">
                  <c:v>66995</c:v>
                </c:pt>
                <c:pt idx="130">
                  <c:v>66995</c:v>
                </c:pt>
                <c:pt idx="131">
                  <c:v>66995</c:v>
                </c:pt>
                <c:pt idx="132">
                  <c:v>66995</c:v>
                </c:pt>
                <c:pt idx="133">
                  <c:v>66995</c:v>
                </c:pt>
                <c:pt idx="134">
                  <c:v>67680</c:v>
                </c:pt>
                <c:pt idx="135">
                  <c:v>67680</c:v>
                </c:pt>
                <c:pt idx="136">
                  <c:v>67680</c:v>
                </c:pt>
                <c:pt idx="137">
                  <c:v>68646</c:v>
                </c:pt>
                <c:pt idx="138">
                  <c:v>68886</c:v>
                </c:pt>
                <c:pt idx="139">
                  <c:v>68886</c:v>
                </c:pt>
                <c:pt idx="140">
                  <c:v>68886</c:v>
                </c:pt>
                <c:pt idx="141">
                  <c:v>68886</c:v>
                </c:pt>
                <c:pt idx="142">
                  <c:v>70203</c:v>
                </c:pt>
                <c:pt idx="143">
                  <c:v>70203</c:v>
                </c:pt>
                <c:pt idx="144">
                  <c:v>70912</c:v>
                </c:pt>
                <c:pt idx="145">
                  <c:v>70912</c:v>
                </c:pt>
                <c:pt idx="146">
                  <c:v>70912</c:v>
                </c:pt>
                <c:pt idx="147">
                  <c:v>70912</c:v>
                </c:pt>
                <c:pt idx="148">
                  <c:v>72259</c:v>
                </c:pt>
                <c:pt idx="149">
                  <c:v>72259</c:v>
                </c:pt>
              </c:numCache>
            </c:numRef>
          </c:val>
          <c:smooth val="1"/>
        </c:ser>
        <c:dLbls>
          <c:showLegendKey val="0"/>
          <c:showVal val="0"/>
          <c:showCatName val="0"/>
          <c:showSerName val="0"/>
          <c:showPercent val="0"/>
          <c:showBubbleSize val="1"/>
        </c:dLbls>
        <c:hiLowLines>
          <c:spPr>
            <a:ln w="0" cap="flat" cmpd="sng" algn="ctr">
              <a:noFill/>
              <a:prstDash val="solid"/>
              <a:round/>
            </a:ln>
          </c:spPr>
        </c:hiLowLines>
        <c:marker val="0"/>
        <c:smooth val="1"/>
        <c:axId val="41703898"/>
        <c:axId val="34187615"/>
      </c:lineChart>
      <c:catAx>
        <c:axId val="41703898"/>
        <c:scaling>
          <c:orientation val="minMax"/>
        </c:scaling>
        <c:delete val="0"/>
        <c:axPos val="b"/>
        <c:title>
          <c:tx>
            <c:rich>
              <a:bodyPr rot="0" spcFirstLastPara="0" vertOverflow="ellipsis" vert="horz" wrap="square" anchor="ctr" anchorCtr="1"/>
              <a:lstStyle/>
              <a:p>
                <a:pPr>
                  <a:defRPr lang="ko-KR" sz="1000" b="1" i="0" u="none" strike="noStrike" kern="1200" spc="-1" baseline="0">
                    <a:solidFill>
                      <a:srgbClr val="000000"/>
                    </a:solidFill>
                    <a:latin typeface="Calibri" panose="020F0502020204030204"/>
                    <a:ea typeface="+mn-ea"/>
                    <a:cs typeface="+mn-cs"/>
                  </a:defRPr>
                </a:pPr>
                <a:r>
                  <a:rPr sz="1000" b="1" strike="noStrike" spc="-1">
                    <a:solidFill>
                      <a:srgbClr val="000000"/>
                    </a:solidFill>
                    <a:latin typeface="Calibri" panose="020F0502020204030204"/>
                  </a:rPr>
                  <a:t>판</a:t>
                </a:r>
                <a:endParaRPr sz="1000" b="1" strike="noStrike" spc="-1">
                  <a:solidFill>
                    <a:srgbClr val="000000"/>
                  </a:solidFill>
                  <a:latin typeface="Calibri" panose="020F0502020204030204"/>
                </a:endParaRPr>
              </a:p>
            </c:rich>
          </c:tx>
          <c:layout/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ko-K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34187615"/>
        <c:crosses val="autoZero"/>
        <c:auto val="1"/>
        <c:lblAlgn val="ctr"/>
        <c:lblOffset val="100"/>
        <c:noMultiLvlLbl val="0"/>
      </c:catAx>
      <c:valAx>
        <c:axId val="34187615"/>
        <c:scaling>
          <c:logBase val="10"/>
          <c:orientation val="minMax"/>
        </c:scaling>
        <c:delete val="0"/>
        <c:axPos val="l"/>
        <c:majorGridlines>
          <c:spPr>
            <a:ln w="9360" cap="flat" cmpd="sng" algn="ctr">
              <a:solidFill>
                <a:srgbClr val="878787"/>
              </a:solidFill>
              <a:prstDash val="solid"/>
              <a:round/>
            </a:ln>
          </c:spPr>
        </c:majorGridlines>
        <c:numFmt formatCode="#,##0" sourceLinked="1"/>
        <c:majorTickMark val="none"/>
        <c:minorTickMark val="none"/>
        <c:tickLblPos val="nextTo"/>
        <c:spPr>
          <a:ln w="9360" cap="flat" cmpd="sng" algn="ctr">
            <a:solidFill>
              <a:srgbClr val="878787"/>
            </a:solidFill>
            <a:prstDash val="solid"/>
            <a:round/>
          </a:ln>
        </c:spPr>
        <c:txPr>
          <a:bodyPr rot="-60000000" spcFirstLastPara="0" vertOverflow="ellipsis" vert="horz" wrap="square" anchor="ctr" anchorCtr="1"/>
          <a:lstStyle/>
          <a:p>
            <a:pPr>
              <a:defRPr lang="ko-KR" sz="1000" b="0" i="0" u="none" strike="noStrike" kern="1200" spc="-1" baseline="0">
                <a:solidFill>
                  <a:srgbClr val="000000"/>
                </a:solidFill>
                <a:latin typeface="Calibri" panose="020F0502020204030204"/>
                <a:ea typeface="+mn-ea"/>
                <a:cs typeface="+mn-cs"/>
              </a:defRPr>
            </a:pPr>
          </a:p>
        </c:txPr>
        <c:crossAx val="41703898"/>
        <c:crosses val="autoZero"/>
        <c:crossBetween val="between"/>
      </c:valAx>
      <c:spPr>
        <a:noFill/>
        <a:ln w="0">
          <a:noFill/>
        </a:ln>
      </c:spPr>
    </c:plotArea>
    <c:legend>
      <c:legendPos val="r"/>
      <c:layout/>
      <c:overlay val="0"/>
      <c:spPr>
        <a:noFill/>
        <a:ln w="0">
          <a:noFill/>
        </a:ln>
      </c:spPr>
      <c:txPr>
        <a:bodyPr rot="0" spcFirstLastPara="0" vertOverflow="ellipsis" vert="horz" wrap="square" anchor="ctr" anchorCtr="1"/>
        <a:lstStyle/>
        <a:p>
          <a:pPr>
            <a:defRPr lang="ko-KR" sz="1000" b="0" i="0" u="none" strike="noStrike" kern="1200" spc="-1" baseline="0">
              <a:solidFill>
                <a:srgbClr val="000000"/>
              </a:solidFill>
              <a:latin typeface="Calibri" panose="020F0502020204030204"/>
              <a:ea typeface="+mn-ea"/>
              <a:cs typeface="+mn-cs"/>
            </a:defRPr>
          </a:pPr>
        </a:p>
      </c:txPr>
    </c:legend>
    <c:plotVisOnly val="1"/>
    <c:dispBlanksAs val="gap"/>
    <c:showDLblsOverMax val="0"/>
    <c:extLst>
      <c:ext uri="{0b15fc19-7d7d-44ad-8c2d-2c3a37ce22c3}">
        <chartProps xmlns="https://web.wps.cn/et/2018/main" chartId="{63611feb-897f-4dc6-91d0-df6428f9eeff}"/>
      </c:ext>
    </c:extLst>
  </c:chart>
  <c:spPr>
    <a:solidFill>
      <a:srgbClr val="FFFFFF"/>
    </a:solidFill>
    <a:ln w="9360" cap="flat" cmpd="sng" algn="ctr">
      <a:solidFill>
        <a:srgbClr val="D9D9D9"/>
      </a:solidFill>
      <a:prstDash val="solid"/>
      <a:round/>
    </a:ln>
  </c:spPr>
  <c:txPr>
    <a:bodyPr/>
    <a:lstStyle/>
    <a:p>
      <a:pPr>
        <a:defRPr lang="ko-KR"/>
      </a:pPr>
    </a:p>
  </c:tx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13</xdr:col>
      <xdr:colOff>0</xdr:colOff>
      <xdr:row>1</xdr:row>
      <xdr:rowOff>106560</xdr:rowOff>
    </xdr:from>
    <xdr:to>
      <xdr:col>23</xdr:col>
      <xdr:colOff>364320</xdr:colOff>
      <xdr:row>17</xdr:row>
      <xdr:rowOff>72000</xdr:rowOff>
    </xdr:to>
    <xdr:graphicFrame>
      <xdr:nvGraphicFramePr>
        <xdr:cNvPr id="2" name="Chart 1"/>
        <xdr:cNvGraphicFramePr/>
      </xdr:nvGraphicFramePr>
      <xdr:xfrm>
        <a:off x="10264775" y="327025"/>
        <a:ext cx="6313805" cy="324993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twoCellAnchor editAs="oneCell">
    <xdr:from>
      <xdr:col>14</xdr:col>
      <xdr:colOff>0</xdr:colOff>
      <xdr:row>2</xdr:row>
      <xdr:rowOff>79560</xdr:rowOff>
    </xdr:from>
    <xdr:to>
      <xdr:col>23</xdr:col>
      <xdr:colOff>195120</xdr:colOff>
      <xdr:row>20</xdr:row>
      <xdr:rowOff>24120</xdr:rowOff>
    </xdr:to>
    <xdr:graphicFrame>
      <xdr:nvGraphicFramePr>
        <xdr:cNvPr id="2" name="Chart 1"/>
        <xdr:cNvGraphicFramePr/>
      </xdr:nvGraphicFramePr>
      <xdr:xfrm>
        <a:off x="10059035" y="483235"/>
        <a:ext cx="7010400" cy="34188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"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65"/>
  <sheetViews>
    <sheetView workbookViewId="0">
      <selection activeCell="A1" sqref="A1"/>
    </sheetView>
  </sheetViews>
  <sheetFormatPr defaultColWidth="8.67592592592593" defaultRowHeight="14.4" outlineLevelCol="6"/>
  <cols>
    <col min="1" max="1" width="16" customWidth="1"/>
    <col min="2" max="2" width="18" customWidth="1"/>
    <col min="3" max="4" width="16" customWidth="1"/>
    <col min="5" max="5" width="12" customWidth="1"/>
    <col min="6" max="6" width="16" customWidth="1"/>
    <col min="7" max="7" width="52" customWidth="1"/>
  </cols>
  <sheetData>
    <row r="1" ht="17.4" spans="1:7">
      <c r="A1" s="1" t="s">
        <v>0</v>
      </c>
      <c r="B1" s="15"/>
      <c r="C1" s="15"/>
      <c r="D1" s="15"/>
      <c r="E1" s="15"/>
      <c r="F1" s="15"/>
      <c r="G1" s="15"/>
    </row>
    <row r="2" spans="1:7">
      <c r="A2" s="2" t="s">
        <v>1</v>
      </c>
      <c r="B2" s="15"/>
      <c r="C2" s="15"/>
      <c r="D2" s="15"/>
      <c r="E2" s="15"/>
      <c r="F2" s="15"/>
      <c r="G2" s="15"/>
    </row>
    <row r="3" spans="1:7">
      <c r="A3" s="15"/>
      <c r="B3" s="15"/>
      <c r="C3" s="15"/>
      <c r="D3" s="15"/>
      <c r="E3" s="15"/>
      <c r="F3" s="15"/>
      <c r="G3" s="15"/>
    </row>
    <row r="4" spans="1:7">
      <c r="A4" s="3" t="s">
        <v>2</v>
      </c>
      <c r="B4" s="4" t="s">
        <v>3</v>
      </c>
      <c r="C4" s="3" t="s">
        <v>4</v>
      </c>
      <c r="D4" s="3" t="s">
        <v>5</v>
      </c>
      <c r="E4" s="4" t="s">
        <v>6</v>
      </c>
      <c r="F4" s="3" t="s">
        <v>7</v>
      </c>
      <c r="G4" s="3" t="s">
        <v>8</v>
      </c>
    </row>
    <row r="5" spans="1:7">
      <c r="A5" s="5" t="s">
        <v>9</v>
      </c>
      <c r="B5" s="7" t="s">
        <v>10</v>
      </c>
      <c r="C5" s="6">
        <v>10</v>
      </c>
      <c r="D5" s="27">
        <v>1.15</v>
      </c>
      <c r="E5" s="6">
        <v>2.2</v>
      </c>
      <c r="F5" s="7" t="s">
        <v>11</v>
      </c>
      <c r="G5" s="5" t="s">
        <v>12</v>
      </c>
    </row>
    <row r="6" spans="1:7">
      <c r="A6" s="5" t="s">
        <v>13</v>
      </c>
      <c r="B6" s="7" t="s">
        <v>14</v>
      </c>
      <c r="C6" s="6">
        <v>15</v>
      </c>
      <c r="D6" s="27">
        <v>1.17</v>
      </c>
      <c r="E6" s="6">
        <v>0.06</v>
      </c>
      <c r="F6" s="5" t="s">
        <v>15</v>
      </c>
      <c r="G6" s="7" t="s">
        <v>16</v>
      </c>
    </row>
    <row r="7" spans="1:7">
      <c r="A7" s="5" t="s">
        <v>17</v>
      </c>
      <c r="B7" s="7" t="s">
        <v>18</v>
      </c>
      <c r="C7" s="6">
        <v>25</v>
      </c>
      <c r="D7" s="27">
        <v>1.2</v>
      </c>
      <c r="E7" s="6">
        <v>1.3</v>
      </c>
      <c r="F7" s="5" t="s">
        <v>19</v>
      </c>
      <c r="G7" s="5" t="s">
        <v>20</v>
      </c>
    </row>
    <row r="8" spans="1:7">
      <c r="A8" s="5" t="s">
        <v>21</v>
      </c>
      <c r="B8" s="7" t="s">
        <v>22</v>
      </c>
      <c r="C8" s="6">
        <v>40</v>
      </c>
      <c r="D8" s="27">
        <v>1.25</v>
      </c>
      <c r="E8" s="6">
        <v>0.04</v>
      </c>
      <c r="F8" s="5" t="s">
        <v>23</v>
      </c>
      <c r="G8" s="7" t="s">
        <v>24</v>
      </c>
    </row>
    <row r="9" spans="1:7">
      <c r="A9" s="5" t="s">
        <v>25</v>
      </c>
      <c r="B9" s="7" t="s">
        <v>26</v>
      </c>
      <c r="C9" s="6">
        <v>60</v>
      </c>
      <c r="D9" s="27">
        <v>1.3</v>
      </c>
      <c r="E9" s="6">
        <v>0.1</v>
      </c>
      <c r="F9" s="5" t="s">
        <v>27</v>
      </c>
      <c r="G9" s="7" t="s">
        <v>28</v>
      </c>
    </row>
    <row r="10" spans="1:7">
      <c r="A10" s="15"/>
      <c r="B10" s="15"/>
      <c r="C10" s="15"/>
      <c r="D10" s="15"/>
      <c r="E10" s="15"/>
      <c r="F10" s="15"/>
      <c r="G10" s="15"/>
    </row>
    <row r="11" spans="1:7">
      <c r="A11" s="3" t="s">
        <v>29</v>
      </c>
      <c r="B11" s="3" t="s">
        <v>30</v>
      </c>
      <c r="C11" s="3" t="s">
        <v>31</v>
      </c>
      <c r="D11" s="3"/>
      <c r="E11" s="3"/>
      <c r="F11" s="3" t="s">
        <v>32</v>
      </c>
      <c r="G11" s="3" t="s">
        <v>8</v>
      </c>
    </row>
    <row r="12" spans="1:7">
      <c r="A12" s="5" t="s">
        <v>33</v>
      </c>
      <c r="B12" s="7" t="s">
        <v>34</v>
      </c>
      <c r="C12" s="6">
        <v>15</v>
      </c>
      <c r="D12" s="15"/>
      <c r="E12" s="15"/>
      <c r="F12" s="7" t="s">
        <v>35</v>
      </c>
      <c r="G12" s="5" t="s">
        <v>36</v>
      </c>
    </row>
    <row r="13" spans="1:7">
      <c r="A13" s="5" t="s">
        <v>37</v>
      </c>
      <c r="B13" s="7" t="s">
        <v>38</v>
      </c>
      <c r="C13" s="6">
        <v>9.8</v>
      </c>
      <c r="D13" s="15"/>
      <c r="E13" s="15"/>
      <c r="F13" s="7" t="s">
        <v>39</v>
      </c>
      <c r="G13" s="5" t="s">
        <v>40</v>
      </c>
    </row>
    <row r="14" spans="1:7">
      <c r="A14" s="5" t="s">
        <v>41</v>
      </c>
      <c r="B14" s="7" t="s">
        <v>42</v>
      </c>
      <c r="C14" s="6">
        <v>20</v>
      </c>
      <c r="D14" s="15"/>
      <c r="E14" s="15"/>
      <c r="F14" s="7" t="s">
        <v>43</v>
      </c>
      <c r="G14" s="5" t="s">
        <v>44</v>
      </c>
    </row>
    <row r="15" spans="1:7">
      <c r="A15" s="7" t="s">
        <v>45</v>
      </c>
      <c r="B15" s="7" t="s">
        <v>46</v>
      </c>
      <c r="C15" s="6">
        <v>0.5</v>
      </c>
      <c r="D15" s="15"/>
      <c r="E15" s="15"/>
      <c r="F15" s="5" t="s">
        <v>47</v>
      </c>
      <c r="G15" s="5" t="s">
        <v>48</v>
      </c>
    </row>
    <row r="16" spans="1:7">
      <c r="A16" s="7" t="s">
        <v>49</v>
      </c>
      <c r="B16" s="7" t="s">
        <v>50</v>
      </c>
      <c r="C16" s="6">
        <v>40</v>
      </c>
      <c r="D16" s="15"/>
      <c r="E16" s="15"/>
      <c r="F16" s="5" t="s">
        <v>51</v>
      </c>
      <c r="G16" s="5" t="s">
        <v>52</v>
      </c>
    </row>
    <row r="17" spans="1:7">
      <c r="A17" s="15"/>
      <c r="B17" s="15"/>
      <c r="C17" s="15"/>
      <c r="D17" s="15"/>
      <c r="E17" s="15"/>
      <c r="F17" s="15"/>
      <c r="G17" s="15"/>
    </row>
    <row r="18" ht="28.8" spans="1:7">
      <c r="A18" s="3" t="s">
        <v>53</v>
      </c>
      <c r="B18" s="3" t="s">
        <v>54</v>
      </c>
      <c r="C18" s="3" t="s">
        <v>55</v>
      </c>
      <c r="D18" s="3" t="s">
        <v>56</v>
      </c>
      <c r="E18" s="3"/>
      <c r="F18" s="3"/>
      <c r="G18" s="3" t="s">
        <v>57</v>
      </c>
    </row>
    <row r="19" spans="1:7">
      <c r="A19" s="7" t="s">
        <v>58</v>
      </c>
      <c r="B19" s="13">
        <v>0</v>
      </c>
      <c r="C19" s="28">
        <v>1</v>
      </c>
      <c r="D19" s="5">
        <f t="shared" ref="D19:D24" si="0">ROUND(C19*$C$16/60,0)</f>
        <v>1</v>
      </c>
      <c r="E19" s="15"/>
      <c r="F19" s="15"/>
      <c r="G19" s="5" t="s">
        <v>59</v>
      </c>
    </row>
    <row r="20" spans="1:7">
      <c r="A20" s="7" t="s">
        <v>60</v>
      </c>
      <c r="B20" s="13">
        <v>500</v>
      </c>
      <c r="C20" s="28">
        <v>13</v>
      </c>
      <c r="D20" s="5">
        <f t="shared" si="0"/>
        <v>9</v>
      </c>
      <c r="E20" s="15"/>
      <c r="F20" s="15"/>
      <c r="G20" s="5" t="s">
        <v>61</v>
      </c>
    </row>
    <row r="21" spans="1:7">
      <c r="A21" s="7" t="s">
        <v>62</v>
      </c>
      <c r="B21" s="13">
        <v>2000</v>
      </c>
      <c r="C21" s="28">
        <v>20</v>
      </c>
      <c r="D21" s="5">
        <f t="shared" si="0"/>
        <v>13</v>
      </c>
      <c r="E21" s="15"/>
      <c r="F21" s="15"/>
      <c r="G21" s="5" t="s">
        <v>63</v>
      </c>
    </row>
    <row r="22" spans="1:7">
      <c r="A22" s="7" t="s">
        <v>64</v>
      </c>
      <c r="B22" s="13">
        <v>6000</v>
      </c>
      <c r="C22" s="28">
        <v>29</v>
      </c>
      <c r="D22" s="5">
        <f t="shared" si="0"/>
        <v>19</v>
      </c>
      <c r="E22" s="15"/>
      <c r="F22" s="15"/>
      <c r="G22" s="5" t="s">
        <v>65</v>
      </c>
    </row>
    <row r="23" spans="1:7">
      <c r="A23" s="7" t="s">
        <v>66</v>
      </c>
      <c r="B23" s="13">
        <v>15000</v>
      </c>
      <c r="C23" s="28">
        <v>45</v>
      </c>
      <c r="D23" s="5">
        <f t="shared" si="0"/>
        <v>30</v>
      </c>
      <c r="E23" s="15"/>
      <c r="F23" s="15"/>
      <c r="G23" s="5" t="s">
        <v>67</v>
      </c>
    </row>
    <row r="24" spans="1:7">
      <c r="A24" s="7" t="s">
        <v>68</v>
      </c>
      <c r="B24" s="13">
        <v>40000</v>
      </c>
      <c r="C24" s="28">
        <v>113</v>
      </c>
      <c r="D24" s="5">
        <f t="shared" si="0"/>
        <v>75</v>
      </c>
      <c r="E24" s="15"/>
      <c r="F24" s="15"/>
      <c r="G24" s="5" t="s">
        <v>69</v>
      </c>
    </row>
    <row r="25" spans="1:7">
      <c r="A25" s="15"/>
      <c r="B25" s="15"/>
      <c r="C25" s="15"/>
      <c r="D25" s="15"/>
      <c r="E25" s="15"/>
      <c r="F25" s="15"/>
      <c r="G25" s="15"/>
    </row>
    <row r="26" spans="1:7">
      <c r="A26" s="2" t="s">
        <v>70</v>
      </c>
      <c r="B26" s="15"/>
      <c r="C26" s="15"/>
      <c r="D26" s="15"/>
      <c r="E26" s="15"/>
      <c r="F26" s="15"/>
      <c r="G26" s="15"/>
    </row>
    <row r="28" spans="1:7">
      <c r="A28" t="s">
        <v>71</v>
      </c>
      <c r="B28" t="s">
        <v>30</v>
      </c>
      <c r="C28" t="s">
        <v>31</v>
      </c>
      <c r="D28" t="s">
        <v>32</v>
      </c>
      <c r="E28" t="s">
        <v>8</v>
      </c>
    </row>
    <row r="29" spans="1:7">
      <c r="A29" t="s">
        <v>72</v>
      </c>
      <c r="B29" t="s">
        <v>73</v>
      </c>
      <c r="C29">
        <v>1300</v>
      </c>
      <c r="D29" t="s">
        <v>74</v>
      </c>
      <c r="E29" t="s">
        <v>75</v>
      </c>
    </row>
    <row r="30" spans="1:7">
      <c r="A30" t="s">
        <v>76</v>
      </c>
      <c r="B30" t="s">
        <v>77</v>
      </c>
      <c r="C30">
        <v>1400</v>
      </c>
      <c r="D30" t="s">
        <v>78</v>
      </c>
      <c r="E30" t="s">
        <v>79</v>
      </c>
    </row>
    <row r="31" spans="1:7">
      <c r="A31" t="s">
        <v>80</v>
      </c>
      <c r="B31" t="s">
        <v>81</v>
      </c>
      <c r="C31">
        <f>ROUND(C30*C12/(C29*C13),4)</f>
        <v>1.6484</v>
      </c>
      <c r="D31" t="s">
        <v>82</v>
      </c>
      <c r="E31" t="s">
        <v>83</v>
      </c>
    </row>
    <row r="32" spans="1:7">
      <c r="A32" t="s">
        <v>84</v>
      </c>
      <c r="B32" t="s">
        <v>85</v>
      </c>
      <c r="C32">
        <f>ROUND(C29/(C12*C31),3)</f>
        <v>52.576</v>
      </c>
      <c r="D32" t="s">
        <v>86</v>
      </c>
      <c r="E32" t="s">
        <v>87</v>
      </c>
    </row>
    <row r="34" spans="1:5">
      <c r="A34" t="s">
        <v>88</v>
      </c>
      <c r="B34" t="s">
        <v>30</v>
      </c>
      <c r="C34" t="s">
        <v>31</v>
      </c>
      <c r="D34" t="s">
        <v>32</v>
      </c>
      <c r="E34" t="s">
        <v>8</v>
      </c>
    </row>
    <row r="35" spans="1:5">
      <c r="A35" t="s">
        <v>89</v>
      </c>
      <c r="B35" t="s">
        <v>90</v>
      </c>
      <c r="C35">
        <v>1.1</v>
      </c>
      <c r="D35" t="s">
        <v>82</v>
      </c>
      <c r="E35" t="s">
        <v>91</v>
      </c>
    </row>
    <row r="36" spans="1:5">
      <c r="A36" t="s">
        <v>92</v>
      </c>
      <c r="B36" t="s">
        <v>93</v>
      </c>
      <c r="C36">
        <v>0.45</v>
      </c>
      <c r="D36" t="s">
        <v>94</v>
      </c>
      <c r="E36" t="s">
        <v>95</v>
      </c>
    </row>
    <row r="37" spans="1:5">
      <c r="A37" t="s">
        <v>96</v>
      </c>
      <c r="B37" t="s">
        <v>97</v>
      </c>
      <c r="C37">
        <v>1.35</v>
      </c>
      <c r="D37" t="s">
        <v>94</v>
      </c>
      <c r="E37" t="s">
        <v>98</v>
      </c>
    </row>
    <row r="38" spans="1:5">
      <c r="A38" t="s">
        <v>99</v>
      </c>
      <c r="B38" t="s">
        <v>100</v>
      </c>
      <c r="C38">
        <v>9</v>
      </c>
      <c r="D38" t="s">
        <v>82</v>
      </c>
      <c r="E38" t="s">
        <v>101</v>
      </c>
    </row>
    <row r="39" spans="1:5">
      <c r="A39" t="s">
        <v>102</v>
      </c>
      <c r="B39" t="s">
        <v>103</v>
      </c>
      <c r="C39">
        <v>0.1</v>
      </c>
      <c r="D39" t="s">
        <v>104</v>
      </c>
      <c r="E39" t="s">
        <v>105</v>
      </c>
    </row>
    <row r="40" spans="1:5">
      <c r="A40" t="s">
        <v>106</v>
      </c>
      <c r="B40" t="s">
        <v>107</v>
      </c>
      <c r="C40">
        <v>0.3</v>
      </c>
      <c r="D40" t="s">
        <v>104</v>
      </c>
      <c r="E40" t="s">
        <v>108</v>
      </c>
    </row>
    <row r="41" spans="1:5">
      <c r="A41" t="s">
        <v>109</v>
      </c>
      <c r="B41" t="s">
        <v>110</v>
      </c>
      <c r="C41">
        <v>0.6</v>
      </c>
      <c r="D41" t="s">
        <v>104</v>
      </c>
      <c r="E41" t="s">
        <v>111</v>
      </c>
    </row>
    <row r="42" spans="1:5">
      <c r="A42" t="s">
        <v>112</v>
      </c>
      <c r="B42" t="s">
        <v>113</v>
      </c>
      <c r="C42">
        <v>1.15</v>
      </c>
      <c r="D42" t="s">
        <v>82</v>
      </c>
    </row>
    <row r="43" spans="1:5">
      <c r="A43" t="s">
        <v>114</v>
      </c>
      <c r="B43" t="s">
        <v>115</v>
      </c>
      <c r="C43">
        <v>1.03</v>
      </c>
      <c r="D43" t="s">
        <v>82</v>
      </c>
      <c r="E43" t="s">
        <v>116</v>
      </c>
    </row>
    <row r="44" spans="1:5">
      <c r="A44" t="s">
        <v>117</v>
      </c>
      <c r="B44" t="s">
        <v>118</v>
      </c>
      <c r="C44">
        <v>1.13</v>
      </c>
      <c r="D44" t="s">
        <v>82</v>
      </c>
      <c r="E44" t="s">
        <v>119</v>
      </c>
    </row>
    <row r="45" spans="1:5">
      <c r="A45" t="s">
        <v>120</v>
      </c>
      <c r="B45" t="s">
        <v>121</v>
      </c>
      <c r="C45">
        <v>0.95</v>
      </c>
      <c r="D45" t="s">
        <v>82</v>
      </c>
    </row>
    <row r="46" spans="1:5">
      <c r="A46" t="s">
        <v>122</v>
      </c>
      <c r="B46" t="s">
        <v>123</v>
      </c>
      <c r="C46">
        <v>1.03</v>
      </c>
      <c r="D46" t="s">
        <v>82</v>
      </c>
    </row>
    <row r="47" spans="1:5">
      <c r="A47" t="s">
        <v>124</v>
      </c>
      <c r="B47" t="s">
        <v>125</v>
      </c>
      <c r="C47">
        <v>0.8</v>
      </c>
      <c r="D47" t="s">
        <v>82</v>
      </c>
    </row>
    <row r="48" spans="1:5">
      <c r="A48" t="s">
        <v>126</v>
      </c>
      <c r="B48" t="s">
        <v>127</v>
      </c>
      <c r="C48">
        <v>0.95</v>
      </c>
      <c r="D48" t="s">
        <v>82</v>
      </c>
    </row>
    <row r="49" spans="1:5">
      <c r="A49" t="s">
        <v>128</v>
      </c>
      <c r="B49" t="s">
        <v>129</v>
      </c>
      <c r="C49">
        <v>0.5</v>
      </c>
      <c r="D49" t="s">
        <v>19</v>
      </c>
      <c r="E49" t="s">
        <v>130</v>
      </c>
    </row>
    <row r="50" spans="1:5">
      <c r="A50" t="s">
        <v>131</v>
      </c>
      <c r="B50" t="s">
        <v>132</v>
      </c>
      <c r="C50">
        <v>150</v>
      </c>
      <c r="D50" t="s">
        <v>133</v>
      </c>
      <c r="E50" t="s">
        <v>134</v>
      </c>
    </row>
    <row r="51" spans="1:5">
      <c r="A51" t="s">
        <v>135</v>
      </c>
      <c r="B51" t="s">
        <v>136</v>
      </c>
      <c r="C51">
        <v>0.08</v>
      </c>
      <c r="D51" t="s">
        <v>82</v>
      </c>
      <c r="E51" t="s">
        <v>137</v>
      </c>
    </row>
    <row r="52" spans="1:5">
      <c r="A52" t="s">
        <v>138</v>
      </c>
      <c r="B52" t="s">
        <v>139</v>
      </c>
      <c r="C52">
        <v>85</v>
      </c>
      <c r="D52" t="s">
        <v>140</v>
      </c>
      <c r="E52" t="s">
        <v>141</v>
      </c>
    </row>
    <row r="54" spans="1:5">
      <c r="A54" t="s">
        <v>142</v>
      </c>
      <c r="B54" t="s">
        <v>30</v>
      </c>
      <c r="C54" t="s">
        <v>31</v>
      </c>
      <c r="D54" t="s">
        <v>32</v>
      </c>
      <c r="E54" t="s">
        <v>8</v>
      </c>
    </row>
    <row r="55" spans="1:5">
      <c r="A55" t="s">
        <v>143</v>
      </c>
      <c r="B55" t="s">
        <v>144</v>
      </c>
      <c r="C55">
        <v>1.5</v>
      </c>
      <c r="D55" t="s">
        <v>51</v>
      </c>
      <c r="E55" t="s">
        <v>145</v>
      </c>
    </row>
    <row r="56" spans="1:5">
      <c r="A56" t="s">
        <v>146</v>
      </c>
      <c r="B56" t="s">
        <v>147</v>
      </c>
      <c r="C56">
        <v>0.3</v>
      </c>
      <c r="D56" t="s">
        <v>51</v>
      </c>
      <c r="E56" t="s">
        <v>148</v>
      </c>
    </row>
    <row r="57" spans="1:5">
      <c r="A57" t="s">
        <v>149</v>
      </c>
      <c r="B57" t="s">
        <v>150</v>
      </c>
      <c r="C57">
        <v>0.35</v>
      </c>
      <c r="D57" t="s">
        <v>151</v>
      </c>
      <c r="E57" t="s">
        <v>152</v>
      </c>
    </row>
    <row r="58" spans="1:5">
      <c r="A58" t="s">
        <v>153</v>
      </c>
      <c r="B58" t="s">
        <v>154</v>
      </c>
      <c r="C58">
        <v>0.25</v>
      </c>
      <c r="D58" t="s">
        <v>155</v>
      </c>
      <c r="E58" t="s">
        <v>156</v>
      </c>
    </row>
    <row r="59" spans="1:5">
      <c r="A59" t="s">
        <v>157</v>
      </c>
      <c r="B59" t="s">
        <v>158</v>
      </c>
      <c r="C59">
        <v>1.2</v>
      </c>
      <c r="D59" t="s">
        <v>151</v>
      </c>
      <c r="E59" t="s">
        <v>159</v>
      </c>
    </row>
    <row r="60" spans="1:5">
      <c r="A60" t="s">
        <v>160</v>
      </c>
      <c r="B60" t="s">
        <v>161</v>
      </c>
      <c r="C60">
        <v>1.5</v>
      </c>
      <c r="D60" t="s">
        <v>82</v>
      </c>
      <c r="E60" t="s">
        <v>162</v>
      </c>
    </row>
    <row r="61" spans="1:5">
      <c r="A61" t="s">
        <v>163</v>
      </c>
      <c r="B61" t="s">
        <v>164</v>
      </c>
      <c r="C61">
        <v>0.35</v>
      </c>
      <c r="D61" t="s">
        <v>51</v>
      </c>
      <c r="E61" t="s">
        <v>165</v>
      </c>
    </row>
    <row r="62" spans="1:5">
      <c r="A62" t="s">
        <v>166</v>
      </c>
      <c r="B62" t="s">
        <v>167</v>
      </c>
      <c r="C62">
        <v>1.2</v>
      </c>
      <c r="D62" t="s">
        <v>82</v>
      </c>
      <c r="E62" t="s">
        <v>168</v>
      </c>
    </row>
    <row r="63" spans="1:5">
      <c r="A63" t="s">
        <v>169</v>
      </c>
      <c r="B63" t="s">
        <v>170</v>
      </c>
      <c r="C63">
        <v>0.18</v>
      </c>
      <c r="D63" t="s">
        <v>51</v>
      </c>
      <c r="E63" t="s">
        <v>171</v>
      </c>
    </row>
    <row r="64" spans="1:5">
      <c r="A64" t="s">
        <v>172</v>
      </c>
      <c r="B64" t="s">
        <v>173</v>
      </c>
      <c r="C64">
        <v>40</v>
      </c>
      <c r="D64" t="s">
        <v>133</v>
      </c>
      <c r="E64" t="s">
        <v>174</v>
      </c>
    </row>
    <row r="65" spans="1:5">
      <c r="A65" t="s">
        <v>175</v>
      </c>
      <c r="B65" t="s">
        <v>176</v>
      </c>
      <c r="C65">
        <v>0.35</v>
      </c>
      <c r="D65" t="s">
        <v>51</v>
      </c>
      <c r="E65" t="s">
        <v>177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84"/>
  <sheetViews>
    <sheetView workbookViewId="0">
      <pane xSplit="1" ySplit="3" topLeftCell="B4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6" customWidth="1"/>
    <col min="2" max="8" width="12" customWidth="1"/>
    <col min="9" max="9" width="13" customWidth="1"/>
    <col min="10" max="11" width="11" customWidth="1"/>
    <col min="12" max="12" width="16" customWidth="1"/>
  </cols>
  <sheetData>
    <row r="1" ht="17.4" spans="1:12">
      <c r="A1" s="1" t="s">
        <v>178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</row>
    <row r="2" spans="1:12">
      <c r="A2" s="15"/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</row>
    <row r="3" ht="42.6" spans="1:12">
      <c r="A3" s="4" t="s">
        <v>179</v>
      </c>
      <c r="B3" s="3" t="s">
        <v>180</v>
      </c>
      <c r="C3" s="3" t="s">
        <v>181</v>
      </c>
      <c r="D3" s="3" t="s">
        <v>182</v>
      </c>
      <c r="E3" s="3" t="s">
        <v>183</v>
      </c>
      <c r="F3" s="3" t="s">
        <v>184</v>
      </c>
      <c r="G3" s="3" t="s">
        <v>185</v>
      </c>
      <c r="H3" s="3" t="s">
        <v>186</v>
      </c>
      <c r="I3" s="3" t="s">
        <v>187</v>
      </c>
      <c r="J3" s="3" t="s">
        <v>188</v>
      </c>
      <c r="K3" s="3" t="s">
        <v>27</v>
      </c>
      <c r="L3" s="3" t="s">
        <v>189</v>
      </c>
    </row>
    <row r="4" spans="1:12">
      <c r="A4" s="5">
        <v>0</v>
      </c>
      <c r="B4" s="24">
        <f>ROUND(설정!$C$5*설정!$D$5^$A4,0)</f>
        <v>10</v>
      </c>
      <c r="C4" s="24">
        <f>ROUND(설정!$C$6*설정!$D$6^$A4,0)</f>
        <v>15</v>
      </c>
      <c r="D4" s="24">
        <f>ROUND(설정!$C$7*설정!$D$7^$A4,0)</f>
        <v>25</v>
      </c>
      <c r="E4" s="24">
        <f>ROUND(설정!$C$8*설정!$D$8^$A4,0)</f>
        <v>40</v>
      </c>
      <c r="F4" s="24">
        <f>ROUND(설정!$C$9*설정!$D$9^$A4,0)</f>
        <v>60</v>
      </c>
      <c r="G4" s="25">
        <f>설정!$C$12+설정!$E$5*A4</f>
        <v>15</v>
      </c>
      <c r="H4" s="26">
        <f>1+설정!$E$6*A4</f>
        <v>1</v>
      </c>
      <c r="I4" s="24">
        <f>설정!$C$14*A4^설정!$E$7</f>
        <v>0</v>
      </c>
      <c r="J4" s="26">
        <f>1+설정!$E$8*A4</f>
        <v>1</v>
      </c>
      <c r="K4" s="26">
        <f>1+설정!$E$9*A4</f>
        <v>1</v>
      </c>
      <c r="L4" s="24">
        <f>(G4^2/설정!$C$13*H4+I4)*J4</f>
        <v>22.9591836734694</v>
      </c>
    </row>
    <row r="5" spans="1:12">
      <c r="A5" s="5">
        <v>1</v>
      </c>
      <c r="B5" s="24">
        <f>ROUND(설정!$C$5*설정!$D$5^$A5,0)</f>
        <v>12</v>
      </c>
      <c r="C5" s="24">
        <f>ROUND(설정!$C$6*설정!$D$6^$A5,0)</f>
        <v>18</v>
      </c>
      <c r="D5" s="24">
        <f>ROUND(설정!$C$7*설정!$D$7^$A5,0)</f>
        <v>30</v>
      </c>
      <c r="E5" s="24">
        <f>ROUND(설정!$C$8*설정!$D$8^$A5,0)</f>
        <v>50</v>
      </c>
      <c r="F5" s="24">
        <f>ROUND(설정!$C$9*설정!$D$9^$A5,0)</f>
        <v>78</v>
      </c>
      <c r="G5" s="25">
        <f>설정!$C$12+설정!$E$5*A5</f>
        <v>17.2</v>
      </c>
      <c r="H5" s="26">
        <f>1+설정!$E$6*A5</f>
        <v>1.06</v>
      </c>
      <c r="I5" s="24">
        <f>설정!$C$14*A5^설정!$E$7</f>
        <v>20</v>
      </c>
      <c r="J5" s="26">
        <f>1+설정!$E$8*A5</f>
        <v>1.04</v>
      </c>
      <c r="K5" s="26">
        <f>1+설정!$E$9*A5</f>
        <v>1.1</v>
      </c>
      <c r="L5" s="24">
        <f>(G5^2/설정!$C$13*H5+I5)*J5</f>
        <v>54.0789812244898</v>
      </c>
    </row>
    <row r="6" spans="1:12">
      <c r="A6" s="5">
        <v>2</v>
      </c>
      <c r="B6" s="24">
        <f>ROUND(설정!$C$5*설정!$D$5^$A6,0)</f>
        <v>13</v>
      </c>
      <c r="C6" s="24">
        <f>ROUND(설정!$C$6*설정!$D$6^$A6,0)</f>
        <v>21</v>
      </c>
      <c r="D6" s="24">
        <f>ROUND(설정!$C$7*설정!$D$7^$A6,0)</f>
        <v>36</v>
      </c>
      <c r="E6" s="24">
        <f>ROUND(설정!$C$8*설정!$D$8^$A6,0)</f>
        <v>63</v>
      </c>
      <c r="F6" s="24">
        <f>ROUND(설정!$C$9*설정!$D$9^$A6,0)</f>
        <v>101</v>
      </c>
      <c r="G6" s="25">
        <f>설정!$C$12+설정!$E$5*A6</f>
        <v>19.4</v>
      </c>
      <c r="H6" s="26">
        <f>1+설정!$E$6*A6</f>
        <v>1.12</v>
      </c>
      <c r="I6" s="24">
        <f>설정!$C$14*A6^설정!$E$7</f>
        <v>49.2457765337967</v>
      </c>
      <c r="J6" s="26">
        <f>1+설정!$E$8*A6</f>
        <v>1.08</v>
      </c>
      <c r="K6" s="26">
        <f>1+설정!$E$9*A6</f>
        <v>1.2</v>
      </c>
      <c r="L6" s="24">
        <f>(G6^2/설정!$C$13*H6+I6)*J6</f>
        <v>99.6390157993575</v>
      </c>
    </row>
    <row r="7" spans="1:12">
      <c r="A7" s="5">
        <v>3</v>
      </c>
      <c r="B7" s="24">
        <f>ROUND(설정!$C$5*설정!$D$5^$A7,0)</f>
        <v>15</v>
      </c>
      <c r="C7" s="24">
        <f>ROUND(설정!$C$6*설정!$D$6^$A7,0)</f>
        <v>24</v>
      </c>
      <c r="D7" s="24">
        <f>ROUND(설정!$C$7*설정!$D$7^$A7,0)</f>
        <v>43</v>
      </c>
      <c r="E7" s="24">
        <f>ROUND(설정!$C$8*설정!$D$8^$A7,0)</f>
        <v>78</v>
      </c>
      <c r="F7" s="24">
        <f>ROUND(설정!$C$9*설정!$D$9^$A7,0)</f>
        <v>132</v>
      </c>
      <c r="G7" s="25">
        <f>설정!$C$12+설정!$E$5*A7</f>
        <v>21.6</v>
      </c>
      <c r="H7" s="26">
        <f>1+설정!$E$6*A7</f>
        <v>1.18</v>
      </c>
      <c r="I7" s="24">
        <f>설정!$C$14*A7^설정!$E$7</f>
        <v>83.4233502189546</v>
      </c>
      <c r="J7" s="26">
        <f>1+설정!$E$8*A7</f>
        <v>1.12</v>
      </c>
      <c r="K7" s="26">
        <f>1+설정!$E$9*A7</f>
        <v>1.3</v>
      </c>
      <c r="L7" s="24">
        <f>(G7^2/설정!$C$13*H7+I7)*J7</f>
        <v>156.353100816658</v>
      </c>
    </row>
    <row r="8" spans="1:12">
      <c r="A8" s="5">
        <v>4</v>
      </c>
      <c r="B8" s="24">
        <f>ROUND(설정!$C$5*설정!$D$5^$A8,0)</f>
        <v>17</v>
      </c>
      <c r="C8" s="24">
        <f>ROUND(설정!$C$6*설정!$D$6^$A8,0)</f>
        <v>28</v>
      </c>
      <c r="D8" s="24">
        <f>ROUND(설정!$C$7*설정!$D$7^$A8,0)</f>
        <v>52</v>
      </c>
      <c r="E8" s="24">
        <f>ROUND(설정!$C$8*설정!$D$8^$A8,0)</f>
        <v>98</v>
      </c>
      <c r="F8" s="24">
        <f>ROUND(설정!$C$9*설정!$D$9^$A8,0)</f>
        <v>171</v>
      </c>
      <c r="G8" s="25">
        <f>설정!$C$12+설정!$E$5*A8</f>
        <v>23.8</v>
      </c>
      <c r="H8" s="26">
        <f>1+설정!$E$6*A8</f>
        <v>1.24</v>
      </c>
      <c r="I8" s="24">
        <f>설정!$C$14*A8^설정!$E$7</f>
        <v>121.257325320832</v>
      </c>
      <c r="J8" s="26">
        <f>1+설정!$E$8*A8</f>
        <v>1.16</v>
      </c>
      <c r="K8" s="26">
        <f>1+설정!$E$9*A8</f>
        <v>1.4</v>
      </c>
      <c r="L8" s="24">
        <f>(G8^2/설정!$C$13*H8+I8)*J8</f>
        <v>223.798017372165</v>
      </c>
    </row>
    <row r="9" spans="1:12">
      <c r="A9" s="5">
        <v>5</v>
      </c>
      <c r="B9" s="24">
        <f>ROUND(설정!$C$5*설정!$D$5^$A9,0)</f>
        <v>20</v>
      </c>
      <c r="C9" s="24">
        <f>ROUND(설정!$C$6*설정!$D$6^$A9,0)</f>
        <v>33</v>
      </c>
      <c r="D9" s="24">
        <f>ROUND(설정!$C$7*설정!$D$7^$A9,0)</f>
        <v>62</v>
      </c>
      <c r="E9" s="24">
        <f>ROUND(설정!$C$8*설정!$D$8^$A9,0)</f>
        <v>122</v>
      </c>
      <c r="F9" s="24">
        <f>ROUND(설정!$C$9*설정!$D$9^$A9,0)</f>
        <v>223</v>
      </c>
      <c r="G9" s="25">
        <f>설정!$C$12+설정!$E$5*A9</f>
        <v>26</v>
      </c>
      <c r="H9" s="26">
        <f>1+설정!$E$6*A9</f>
        <v>1.3</v>
      </c>
      <c r="I9" s="24">
        <f>설정!$C$14*A9^설정!$E$7</f>
        <v>162.065659669276</v>
      </c>
      <c r="J9" s="26">
        <f>1+설정!$E$8*A9</f>
        <v>1.2</v>
      </c>
      <c r="K9" s="26">
        <f>1+설정!$E$9*A9</f>
        <v>1.5</v>
      </c>
      <c r="L9" s="24">
        <f>(G9^2/설정!$C$13*H9+I9)*J9</f>
        <v>302.086954868438</v>
      </c>
    </row>
    <row r="10" spans="1:12">
      <c r="A10" s="5">
        <v>6</v>
      </c>
      <c r="B10" s="24">
        <f>ROUND(설정!$C$5*설정!$D$5^$A10,0)</f>
        <v>23</v>
      </c>
      <c r="C10" s="24">
        <f>ROUND(설정!$C$6*설정!$D$6^$A10,0)</f>
        <v>38</v>
      </c>
      <c r="D10" s="24">
        <f>ROUND(설정!$C$7*설정!$D$7^$A10,0)</f>
        <v>75</v>
      </c>
      <c r="E10" s="24">
        <f>ROUND(설정!$C$8*설정!$D$8^$A10,0)</f>
        <v>153</v>
      </c>
      <c r="F10" s="24">
        <f>ROUND(설정!$C$9*설정!$D$9^$A10,0)</f>
        <v>290</v>
      </c>
      <c r="G10" s="25">
        <f>설정!$C$12+설정!$E$5*A10</f>
        <v>28.2</v>
      </c>
      <c r="H10" s="26">
        <f>1+설정!$E$6*A10</f>
        <v>1.36</v>
      </c>
      <c r="I10" s="24">
        <f>설정!$C$14*A10^설정!$E$7</f>
        <v>205.412383129165</v>
      </c>
      <c r="J10" s="26">
        <f>1+설정!$E$8*A10</f>
        <v>1.24</v>
      </c>
      <c r="K10" s="26">
        <f>1+설정!$E$9*A10</f>
        <v>1.6</v>
      </c>
      <c r="L10" s="24">
        <f>(G10^2/설정!$C$13*H10+I10)*J10</f>
        <v>391.557552631185</v>
      </c>
    </row>
    <row r="11" spans="1:12">
      <c r="A11" s="5">
        <v>7</v>
      </c>
      <c r="B11" s="24">
        <f>ROUND(설정!$C$5*설정!$D$5^$A11,0)</f>
        <v>27</v>
      </c>
      <c r="C11" s="24">
        <f>ROUND(설정!$C$6*설정!$D$6^$A11,0)</f>
        <v>45</v>
      </c>
      <c r="D11" s="24">
        <f>ROUND(설정!$C$7*설정!$D$7^$A11,0)</f>
        <v>90</v>
      </c>
      <c r="E11" s="24">
        <f>ROUND(설정!$C$8*설정!$D$8^$A11,0)</f>
        <v>191</v>
      </c>
      <c r="F11" s="24">
        <f>ROUND(설정!$C$9*설정!$D$9^$A11,0)</f>
        <v>376</v>
      </c>
      <c r="G11" s="25">
        <f>설정!$C$12+설정!$E$5*A11</f>
        <v>30.4</v>
      </c>
      <c r="H11" s="26">
        <f>1+설정!$E$6*A11</f>
        <v>1.42</v>
      </c>
      <c r="I11" s="24">
        <f>설정!$C$14*A11^설정!$E$7</f>
        <v>250.99059475294</v>
      </c>
      <c r="J11" s="26">
        <f>1+설정!$E$8*A11</f>
        <v>1.28</v>
      </c>
      <c r="K11" s="26">
        <f>1+설정!$E$9*A11</f>
        <v>1.7</v>
      </c>
      <c r="L11" s="24">
        <f>(G11^2/설정!$C$13*H11+I11)*J11</f>
        <v>492.671350671518</v>
      </c>
    </row>
    <row r="12" spans="1:12">
      <c r="A12" s="5">
        <v>8</v>
      </c>
      <c r="B12" s="24">
        <f>ROUND(설정!$C$5*설정!$D$5^$A12,0)</f>
        <v>31</v>
      </c>
      <c r="C12" s="24">
        <f>ROUND(설정!$C$6*설정!$D$6^$A12,0)</f>
        <v>53</v>
      </c>
      <c r="D12" s="24">
        <f>ROUND(설정!$C$7*설정!$D$7^$A12,0)</f>
        <v>107</v>
      </c>
      <c r="E12" s="24">
        <f>ROUND(설정!$C$8*설정!$D$8^$A12,0)</f>
        <v>238</v>
      </c>
      <c r="F12" s="24">
        <f>ROUND(설정!$C$9*설정!$D$9^$A12,0)</f>
        <v>489</v>
      </c>
      <c r="G12" s="25">
        <f>설정!$C$12+설정!$E$5*A12</f>
        <v>32.6</v>
      </c>
      <c r="H12" s="26">
        <f>1+설정!$E$6*A12</f>
        <v>1.48</v>
      </c>
      <c r="I12" s="24">
        <f>설정!$C$14*A12^설정!$E$7</f>
        <v>298.570557291778</v>
      </c>
      <c r="J12" s="26">
        <f>1+설정!$E$8*A12</f>
        <v>1.32</v>
      </c>
      <c r="K12" s="26">
        <f>1+설정!$E$9*A12</f>
        <v>1.8</v>
      </c>
      <c r="L12" s="24">
        <f>(G12^2/설정!$C$13*H12+I12)*J12</f>
        <v>605.971088278209</v>
      </c>
    </row>
    <row r="13" spans="1:12">
      <c r="A13" s="5">
        <v>9</v>
      </c>
      <c r="B13" s="24">
        <f>ROUND(설정!$C$5*설정!$D$5^$A13,0)</f>
        <v>35</v>
      </c>
      <c r="C13" s="24">
        <f>ROUND(설정!$C$6*설정!$D$6^$A13,0)</f>
        <v>62</v>
      </c>
      <c r="D13" s="24">
        <f>ROUND(설정!$C$7*설정!$D$7^$A13,0)</f>
        <v>129</v>
      </c>
      <c r="E13" s="24">
        <f>ROUND(설정!$C$8*설정!$D$8^$A13,0)</f>
        <v>298</v>
      </c>
      <c r="F13" s="24">
        <f>ROUND(설정!$C$9*설정!$D$9^$A13,0)</f>
        <v>636</v>
      </c>
      <c r="G13" s="25">
        <f>설정!$C$12+설정!$E$5*A13</f>
        <v>34.8</v>
      </c>
      <c r="H13" s="26">
        <f>1+설정!$E$6*A13</f>
        <v>1.54</v>
      </c>
      <c r="I13" s="24">
        <f>설정!$C$14*A13^설정!$E$7</f>
        <v>347.972768087717</v>
      </c>
      <c r="J13" s="26">
        <f>1+설정!$E$8*A13</f>
        <v>1.36</v>
      </c>
      <c r="K13" s="26">
        <f>1+설정!$E$9*A13</f>
        <v>1.9</v>
      </c>
      <c r="L13" s="24">
        <f>(G13^2/설정!$C$13*H13+I13)*J13</f>
        <v>732.059513170724</v>
      </c>
    </row>
    <row r="14" spans="1:12">
      <c r="A14" s="5">
        <v>10</v>
      </c>
      <c r="B14" s="24">
        <f>ROUND(설정!$C$5*설정!$D$5^$A14,0)</f>
        <v>40</v>
      </c>
      <c r="C14" s="24">
        <f>ROUND(설정!$C$6*설정!$D$6^$A14,0)</f>
        <v>72</v>
      </c>
      <c r="D14" s="24">
        <f>ROUND(설정!$C$7*설정!$D$7^$A14,0)</f>
        <v>155</v>
      </c>
      <c r="E14" s="24">
        <f>ROUND(설정!$C$8*설정!$D$8^$A14,0)</f>
        <v>373</v>
      </c>
      <c r="F14" s="24">
        <f>ROUND(설정!$C$9*설정!$D$9^$A14,0)</f>
        <v>827</v>
      </c>
      <c r="G14" s="25">
        <f>설정!$C$12+설정!$E$5*A14</f>
        <v>37</v>
      </c>
      <c r="H14" s="26">
        <f>1+설정!$E$6*A14</f>
        <v>1.6</v>
      </c>
      <c r="I14" s="24">
        <f>설정!$C$14*A14^설정!$E$7</f>
        <v>399.052462993776</v>
      </c>
      <c r="J14" s="26">
        <f>1+설정!$E$8*A14</f>
        <v>1.4</v>
      </c>
      <c r="K14" s="26">
        <f>1+설정!$E$9*A14</f>
        <v>2</v>
      </c>
      <c r="L14" s="24">
        <f>(G14^2/설정!$C$13*H14+I14)*J14</f>
        <v>871.587733905572</v>
      </c>
    </row>
    <row r="15" spans="1:12">
      <c r="A15" s="5">
        <v>11</v>
      </c>
      <c r="B15" s="24">
        <f>ROUND(설정!$C$5*설정!$D$5^$A15,0)</f>
        <v>47</v>
      </c>
      <c r="C15" s="24">
        <f>ROUND(설정!$C$6*설정!$D$6^$A15,0)</f>
        <v>84</v>
      </c>
      <c r="D15" s="24">
        <f>ROUND(설정!$C$7*설정!$D$7^$A15,0)</f>
        <v>186</v>
      </c>
      <c r="E15" s="24">
        <f>ROUND(설정!$C$8*설정!$D$8^$A15,0)</f>
        <v>466</v>
      </c>
      <c r="F15" s="24">
        <f>ROUND(설정!$C$9*설정!$D$9^$A15,0)</f>
        <v>1075</v>
      </c>
      <c r="G15" s="25">
        <f>설정!$C$12+설정!$E$5*A15</f>
        <v>39.2</v>
      </c>
      <c r="H15" s="26">
        <f>1+설정!$E$6*A15</f>
        <v>1.66</v>
      </c>
      <c r="I15" s="24">
        <f>설정!$C$14*A15^설정!$E$7</f>
        <v>451.690011004946</v>
      </c>
      <c r="J15" s="26">
        <f>1+설정!$E$8*A15</f>
        <v>1.44</v>
      </c>
      <c r="K15" s="26">
        <f>1+설정!$E$9*A15</f>
        <v>2.1</v>
      </c>
      <c r="L15" s="24">
        <f>(G15^2/설정!$C$13*H15+I15)*J15</f>
        <v>1025.24833584712</v>
      </c>
    </row>
    <row r="16" spans="1:12">
      <c r="A16" s="5">
        <v>12</v>
      </c>
      <c r="B16" s="24">
        <f>ROUND(설정!$C$5*설정!$D$5^$A16,0)</f>
        <v>54</v>
      </c>
      <c r="C16" s="24">
        <f>ROUND(설정!$C$6*설정!$D$6^$A16,0)</f>
        <v>99</v>
      </c>
      <c r="D16" s="24">
        <f>ROUND(설정!$C$7*설정!$D$7^$A16,0)</f>
        <v>223</v>
      </c>
      <c r="E16" s="24">
        <f>ROUND(설정!$C$8*설정!$D$8^$A16,0)</f>
        <v>582</v>
      </c>
      <c r="F16" s="24">
        <f>ROUND(설정!$C$9*설정!$D$9^$A16,0)</f>
        <v>1398</v>
      </c>
      <c r="G16" s="25">
        <f>설정!$C$12+설정!$E$5*A16</f>
        <v>41.4</v>
      </c>
      <c r="H16" s="26">
        <f>1+설정!$E$6*A16</f>
        <v>1.72</v>
      </c>
      <c r="I16" s="24">
        <f>설정!$C$14*A16^설정!$E$7</f>
        <v>505.784615842673</v>
      </c>
      <c r="J16" s="26">
        <f>1+설정!$E$8*A16</f>
        <v>1.48</v>
      </c>
      <c r="K16" s="26">
        <f>1+설정!$E$9*A16</f>
        <v>2.2</v>
      </c>
      <c r="L16" s="24">
        <f>(G16^2/설정!$C$13*H16+I16)*J16</f>
        <v>1193.77108614103</v>
      </c>
    </row>
    <row r="17" spans="1:12">
      <c r="A17" s="5">
        <v>13</v>
      </c>
      <c r="B17" s="24">
        <f>ROUND(설정!$C$5*설정!$D$5^$A17,0)</f>
        <v>62</v>
      </c>
      <c r="C17" s="24">
        <f>ROUND(설정!$C$6*설정!$D$6^$A17,0)</f>
        <v>115</v>
      </c>
      <c r="D17" s="24">
        <f>ROUND(설정!$C$7*설정!$D$7^$A17,0)</f>
        <v>267</v>
      </c>
      <c r="E17" s="24">
        <f>ROUND(설정!$C$8*설정!$D$8^$A17,0)</f>
        <v>728</v>
      </c>
      <c r="F17" s="24">
        <f>ROUND(설정!$C$9*설정!$D$9^$A17,0)</f>
        <v>1817</v>
      </c>
      <c r="G17" s="25">
        <f>설정!$C$12+설정!$E$5*A17</f>
        <v>43.6</v>
      </c>
      <c r="H17" s="26">
        <f>1+설정!$E$6*A17</f>
        <v>1.78</v>
      </c>
      <c r="I17" s="24">
        <f>설정!$C$14*A17^설정!$E$7</f>
        <v>561.249999549611</v>
      </c>
      <c r="J17" s="26">
        <f>1+설정!$E$8*A17</f>
        <v>1.52</v>
      </c>
      <c r="K17" s="26">
        <f>1+설정!$E$9*A17</f>
        <v>2.3</v>
      </c>
      <c r="L17" s="24">
        <f>(G17^2/설정!$C$13*H17+I17)*J17</f>
        <v>1377.92013972357</v>
      </c>
    </row>
    <row r="18" spans="1:12">
      <c r="A18" s="5">
        <v>14</v>
      </c>
      <c r="B18" s="24">
        <f>ROUND(설정!$C$5*설정!$D$5^$A18,0)</f>
        <v>71</v>
      </c>
      <c r="C18" s="24">
        <f>ROUND(설정!$C$6*설정!$D$6^$A18,0)</f>
        <v>135</v>
      </c>
      <c r="D18" s="24">
        <f>ROUND(설정!$C$7*설정!$D$7^$A18,0)</f>
        <v>321</v>
      </c>
      <c r="E18" s="24">
        <f>ROUND(설정!$C$8*설정!$D$8^$A18,0)</f>
        <v>909</v>
      </c>
      <c r="F18" s="24">
        <f>ROUND(설정!$C$9*설정!$D$9^$A18,0)</f>
        <v>2362</v>
      </c>
      <c r="G18" s="25">
        <f>설정!$C$12+설정!$E$5*A18</f>
        <v>45.8</v>
      </c>
      <c r="H18" s="26">
        <f>1+설정!$E$6*A18</f>
        <v>1.84</v>
      </c>
      <c r="I18" s="24">
        <f>설정!$C$14*A18^설정!$E$7</f>
        <v>618.011337064399</v>
      </c>
      <c r="J18" s="26">
        <f>1+설정!$E$8*A18</f>
        <v>1.56</v>
      </c>
      <c r="K18" s="26">
        <f>1+설정!$E$9*A18</f>
        <v>2.4</v>
      </c>
      <c r="L18" s="24">
        <f>(G18^2/설정!$C$13*H18+I18)*J18</f>
        <v>1578.4921609225</v>
      </c>
    </row>
    <row r="19" spans="1:12">
      <c r="A19" s="5">
        <v>15</v>
      </c>
      <c r="B19" s="24">
        <f>ROUND(설정!$C$5*설정!$D$5^$A19,0)</f>
        <v>81</v>
      </c>
      <c r="C19" s="24">
        <f>ROUND(설정!$C$6*설정!$D$6^$A19,0)</f>
        <v>158</v>
      </c>
      <c r="D19" s="24">
        <f>ROUND(설정!$C$7*설정!$D$7^$A19,0)</f>
        <v>385</v>
      </c>
      <c r="E19" s="24">
        <f>ROUND(설정!$C$8*설정!$D$8^$A19,0)</f>
        <v>1137</v>
      </c>
      <c r="F19" s="24">
        <f>ROUND(설정!$C$9*설정!$D$9^$A19,0)</f>
        <v>3071</v>
      </c>
      <c r="G19" s="25">
        <f>설정!$C$12+설정!$E$5*A19</f>
        <v>48</v>
      </c>
      <c r="H19" s="26">
        <f>1+설정!$E$6*A19</f>
        <v>1.9</v>
      </c>
      <c r="I19" s="24">
        <f>설정!$C$14*A19^설정!$E$7</f>
        <v>676.003014252797</v>
      </c>
      <c r="J19" s="26">
        <f>1+설정!$E$8*A19</f>
        <v>1.6</v>
      </c>
      <c r="K19" s="26">
        <f>1+설정!$E$9*A19</f>
        <v>2.5</v>
      </c>
      <c r="L19" s="24">
        <f>(G19^2/설정!$C$13*H19+I19)*J19</f>
        <v>1796.31502688611</v>
      </c>
    </row>
    <row r="20" spans="1:12">
      <c r="A20" s="5">
        <v>16</v>
      </c>
      <c r="B20" s="24">
        <f>ROUND(설정!$C$5*설정!$D$5^$A20,0)</f>
        <v>94</v>
      </c>
      <c r="C20" s="24">
        <f>ROUND(설정!$C$6*설정!$D$6^$A20,0)</f>
        <v>185</v>
      </c>
      <c r="D20" s="24">
        <f>ROUND(설정!$C$7*설정!$D$7^$A20,0)</f>
        <v>462</v>
      </c>
      <c r="E20" s="24">
        <f>ROUND(설정!$C$8*설정!$D$8^$A20,0)</f>
        <v>1421</v>
      </c>
      <c r="F20" s="24">
        <f>ROUND(설정!$C$9*설정!$D$9^$A20,0)</f>
        <v>3992</v>
      </c>
      <c r="G20" s="25">
        <f>설정!$C$12+설정!$E$5*A20</f>
        <v>50.2</v>
      </c>
      <c r="H20" s="26">
        <f>1+설정!$E$6*A20</f>
        <v>1.96</v>
      </c>
      <c r="I20" s="24">
        <f>설정!$C$14*A20^설정!$E$7</f>
        <v>735.166947198102</v>
      </c>
      <c r="J20" s="26">
        <f>1+설정!$E$8*A20</f>
        <v>1.64</v>
      </c>
      <c r="K20" s="26">
        <f>1+설정!$E$9*A20</f>
        <v>2.6</v>
      </c>
      <c r="L20" s="24">
        <f>(G20^2/설정!$C$13*H20+I20)*J20</f>
        <v>2032.24691340489</v>
      </c>
    </row>
    <row r="21" spans="1:12">
      <c r="A21" s="5">
        <v>17</v>
      </c>
      <c r="B21" s="24">
        <f>ROUND(설정!$C$5*설정!$D$5^$A21,0)</f>
        <v>108</v>
      </c>
      <c r="C21" s="24">
        <f>ROUND(설정!$C$6*설정!$D$6^$A21,0)</f>
        <v>216</v>
      </c>
      <c r="D21" s="24">
        <f>ROUND(설정!$C$7*설정!$D$7^$A21,0)</f>
        <v>555</v>
      </c>
      <c r="E21" s="24">
        <f>ROUND(설정!$C$8*설정!$D$8^$A21,0)</f>
        <v>1776</v>
      </c>
      <c r="F21" s="24">
        <f>ROUND(설정!$C$9*설정!$D$9^$A21,0)</f>
        <v>5190</v>
      </c>
      <c r="G21" s="25">
        <f>설정!$C$12+설정!$E$5*A21</f>
        <v>52.4</v>
      </c>
      <c r="H21" s="26">
        <f>1+설정!$E$6*A21</f>
        <v>2.02</v>
      </c>
      <c r="I21" s="24">
        <f>설정!$C$14*A21^설정!$E$7</f>
        <v>795.451295451694</v>
      </c>
      <c r="J21" s="26">
        <f>1+설정!$E$8*A21</f>
        <v>1.68</v>
      </c>
      <c r="K21" s="26">
        <f>1+설정!$E$9*A21</f>
        <v>2.7</v>
      </c>
      <c r="L21" s="24">
        <f>(G21^2/설정!$C$13*H21+I21)*J21</f>
        <v>2287.17563921599</v>
      </c>
    </row>
    <row r="22" spans="1:12">
      <c r="A22" s="5">
        <v>18</v>
      </c>
      <c r="B22" s="24">
        <f>ROUND(설정!$C$5*설정!$D$5^$A22,0)</f>
        <v>124</v>
      </c>
      <c r="C22" s="24">
        <f>ROUND(설정!$C$6*설정!$D$6^$A22,0)</f>
        <v>253</v>
      </c>
      <c r="D22" s="24">
        <f>ROUND(설정!$C$7*설정!$D$7^$A22,0)</f>
        <v>666</v>
      </c>
      <c r="E22" s="24">
        <f>ROUND(설정!$C$8*설정!$D$8^$A22,0)</f>
        <v>2220</v>
      </c>
      <c r="F22" s="24">
        <f>ROUND(설정!$C$9*설정!$D$9^$A22,0)</f>
        <v>6747</v>
      </c>
      <c r="G22" s="25">
        <f>설정!$C$12+설정!$E$5*A22</f>
        <v>54.6</v>
      </c>
      <c r="H22" s="26">
        <f>1+설정!$E$6*A22</f>
        <v>2.08</v>
      </c>
      <c r="I22" s="24">
        <f>설정!$C$14*A22^설정!$E$7</f>
        <v>856.809458854719</v>
      </c>
      <c r="J22" s="26">
        <f>1+설정!$E$8*A22</f>
        <v>1.72</v>
      </c>
      <c r="K22" s="26">
        <f>1+설정!$E$9*A22</f>
        <v>2.8</v>
      </c>
      <c r="L22" s="24">
        <f>(G22^2/설정!$C$13*H22+I22)*J22</f>
        <v>2562.01818923012</v>
      </c>
    </row>
    <row r="23" spans="1:12">
      <c r="A23" s="5">
        <v>19</v>
      </c>
      <c r="B23" s="24">
        <f>ROUND(설정!$C$5*설정!$D$5^$A23,0)</f>
        <v>142</v>
      </c>
      <c r="C23" s="24">
        <f>ROUND(설정!$C$6*설정!$D$6^$A23,0)</f>
        <v>296</v>
      </c>
      <c r="D23" s="24">
        <f>ROUND(설정!$C$7*설정!$D$7^$A23,0)</f>
        <v>799</v>
      </c>
      <c r="E23" s="24">
        <f>ROUND(설정!$C$8*설정!$D$8^$A23,0)</f>
        <v>2776</v>
      </c>
      <c r="F23" s="24">
        <f>ROUND(설정!$C$9*설정!$D$9^$A23,0)</f>
        <v>8772</v>
      </c>
      <c r="G23" s="25">
        <f>설정!$C$12+설정!$E$5*A23</f>
        <v>56.8</v>
      </c>
      <c r="H23" s="26">
        <f>1+설정!$E$6*A23</f>
        <v>2.14</v>
      </c>
      <c r="I23" s="24">
        <f>설정!$C$14*A23^설정!$E$7</f>
        <v>919.199282965283</v>
      </c>
      <c r="J23" s="26">
        <f>1+설정!$E$8*A23</f>
        <v>1.76</v>
      </c>
      <c r="K23" s="26">
        <f>1+설정!$E$9*A23</f>
        <v>2.9</v>
      </c>
      <c r="L23" s="24">
        <f>(G23^2/설정!$C$13*H23+I23)*J23</f>
        <v>2857.72036414135</v>
      </c>
    </row>
    <row r="24" spans="1:12">
      <c r="A24" s="5">
        <v>20</v>
      </c>
      <c r="B24" s="24">
        <f>ROUND(설정!$C$5*설정!$D$5^$A24,0)</f>
        <v>164</v>
      </c>
      <c r="C24" s="24">
        <f>ROUND(설정!$C$6*설정!$D$6^$A24,0)</f>
        <v>347</v>
      </c>
      <c r="D24" s="24">
        <f>ROUND(설정!$C$7*설정!$D$7^$A24,0)</f>
        <v>958</v>
      </c>
      <c r="E24" s="24">
        <f>ROUND(설정!$C$8*설정!$D$8^$A24,0)</f>
        <v>3469</v>
      </c>
      <c r="F24" s="24">
        <f>ROUND(설정!$C$9*설정!$D$9^$A24,0)</f>
        <v>11403</v>
      </c>
      <c r="G24" s="25">
        <f>설정!$C$12+설정!$E$5*A24</f>
        <v>59</v>
      </c>
      <c r="H24" s="26">
        <f>1+설정!$E$6*A24</f>
        <v>2.2</v>
      </c>
      <c r="I24" s="24">
        <f>설정!$C$14*A24^설정!$E$7</f>
        <v>982.582420892633</v>
      </c>
      <c r="J24" s="26">
        <f>1+설정!$E$8*A24</f>
        <v>1.8</v>
      </c>
      <c r="K24" s="26">
        <f>1+설정!$E$9*A24</f>
        <v>3</v>
      </c>
      <c r="L24" s="24">
        <f>(G24^2/설정!$C$13*H24+I24)*J24</f>
        <v>3175.25652087204</v>
      </c>
    </row>
    <row r="25" spans="1:12">
      <c r="A25" s="5">
        <v>21</v>
      </c>
      <c r="B25" s="24">
        <f>ROUND(설정!$C$5*설정!$D$5^$A25,0)</f>
        <v>188</v>
      </c>
      <c r="C25" s="24">
        <f>ROUND(설정!$C$6*설정!$D$6^$A25,0)</f>
        <v>406</v>
      </c>
      <c r="D25" s="24">
        <f>ROUND(설정!$C$7*설정!$D$7^$A25,0)</f>
        <v>1150</v>
      </c>
      <c r="E25" s="24">
        <f>ROUND(설정!$C$8*설정!$D$8^$A25,0)</f>
        <v>4337</v>
      </c>
      <c r="F25" s="24">
        <f>ROUND(설정!$C$9*설정!$D$9^$A25,0)</f>
        <v>14824</v>
      </c>
      <c r="G25" s="25">
        <f>설정!$C$12+설정!$E$5*A25</f>
        <v>61.2</v>
      </c>
      <c r="H25" s="26">
        <f>1+설정!$E$6*A25</f>
        <v>2.26</v>
      </c>
      <c r="I25" s="24">
        <f>설정!$C$14*A25^설정!$E$7</f>
        <v>1046.92381438691</v>
      </c>
      <c r="J25" s="26">
        <f>1+설정!$E$8*A25</f>
        <v>1.84</v>
      </c>
      <c r="K25" s="26">
        <f>1+설정!$E$9*A25</f>
        <v>3.1</v>
      </c>
      <c r="L25" s="24">
        <f>(G25^2/설정!$C$13*H25+I25)*J25</f>
        <v>3515.62937928824</v>
      </c>
    </row>
    <row r="26" spans="1:12">
      <c r="A26" s="5">
        <v>22</v>
      </c>
      <c r="B26" s="24">
        <f>ROUND(설정!$C$5*설정!$D$5^$A26,0)</f>
        <v>216</v>
      </c>
      <c r="C26" s="24">
        <f>ROUND(설정!$C$6*설정!$D$6^$A26,0)</f>
        <v>474</v>
      </c>
      <c r="D26" s="24">
        <f>ROUND(설정!$C$7*설정!$D$7^$A26,0)</f>
        <v>1380</v>
      </c>
      <c r="E26" s="24">
        <f>ROUND(설정!$C$8*설정!$D$8^$A26,0)</f>
        <v>5421</v>
      </c>
      <c r="F26" s="24">
        <f>ROUND(설정!$C$9*설정!$D$9^$A26,0)</f>
        <v>19271</v>
      </c>
      <c r="G26" s="25">
        <f>설정!$C$12+설정!$E$5*A26</f>
        <v>63.4</v>
      </c>
      <c r="H26" s="26">
        <f>1+설정!$E$6*A26</f>
        <v>2.32</v>
      </c>
      <c r="I26" s="24">
        <f>설정!$C$14*A26^설정!$E$7</f>
        <v>1112.19126722489</v>
      </c>
      <c r="J26" s="26">
        <f>1+설정!$E$8*A26</f>
        <v>1.88</v>
      </c>
      <c r="K26" s="26">
        <f>1+설정!$E$9*A26</f>
        <v>3.2</v>
      </c>
      <c r="L26" s="24">
        <f>(G26^2/설정!$C$13*H26+I26)*J26</f>
        <v>3879.86987789299</v>
      </c>
    </row>
    <row r="27" spans="1:12">
      <c r="A27" s="5">
        <v>23</v>
      </c>
      <c r="B27" s="24">
        <f>ROUND(설정!$C$5*설정!$D$5^$A27,0)</f>
        <v>249</v>
      </c>
      <c r="C27" s="24">
        <f>ROUND(설정!$C$6*설정!$D$6^$A27,0)</f>
        <v>555</v>
      </c>
      <c r="D27" s="24">
        <f>ROUND(설정!$C$7*설정!$D$7^$A27,0)</f>
        <v>1656</v>
      </c>
      <c r="E27" s="24">
        <f>ROUND(설정!$C$8*설정!$D$8^$A27,0)</f>
        <v>6776</v>
      </c>
      <c r="F27" s="24">
        <f>ROUND(설정!$C$9*설정!$D$9^$A27,0)</f>
        <v>25052</v>
      </c>
      <c r="G27" s="25">
        <f>설정!$C$12+설정!$E$5*A27</f>
        <v>65.6</v>
      </c>
      <c r="H27" s="26">
        <f>1+설정!$E$6*A27</f>
        <v>2.38</v>
      </c>
      <c r="I27" s="24">
        <f>설정!$C$14*A27^설정!$E$7</f>
        <v>1178.35509098707</v>
      </c>
      <c r="J27" s="26">
        <f>1+설정!$E$8*A27</f>
        <v>1.92</v>
      </c>
      <c r="K27" s="26">
        <f>1+설정!$E$9*A27</f>
        <v>3.3</v>
      </c>
      <c r="L27" s="24">
        <f>(G27^2/설정!$C$13*H27+I27)*J27</f>
        <v>4269.03706612375</v>
      </c>
    </row>
    <row r="28" spans="1:12">
      <c r="A28" s="5">
        <v>24</v>
      </c>
      <c r="B28" s="24">
        <f>ROUND(설정!$C$5*설정!$D$5^$A28,0)</f>
        <v>286</v>
      </c>
      <c r="C28" s="24">
        <f>ROUND(설정!$C$6*설정!$D$6^$A28,0)</f>
        <v>649</v>
      </c>
      <c r="D28" s="24">
        <f>ROUND(설정!$C$7*설정!$D$7^$A28,0)</f>
        <v>1987</v>
      </c>
      <c r="E28" s="24">
        <f>ROUND(설정!$C$8*설정!$D$8^$A28,0)</f>
        <v>8470</v>
      </c>
      <c r="F28" s="24">
        <f>ROUND(설정!$C$9*설정!$D$9^$A28,0)</f>
        <v>32568</v>
      </c>
      <c r="G28" s="25">
        <f>설정!$C$12+설정!$E$5*A28</f>
        <v>67.8</v>
      </c>
      <c r="H28" s="26">
        <f>1+설정!$E$6*A28</f>
        <v>2.44</v>
      </c>
      <c r="I28" s="24">
        <f>설정!$C$14*A28^설정!$E$7</f>
        <v>1245.38780830102</v>
      </c>
      <c r="J28" s="26">
        <f>1+설정!$E$8*A28</f>
        <v>1.96</v>
      </c>
      <c r="K28" s="26">
        <f>1+설정!$E$9*A28</f>
        <v>3.4</v>
      </c>
      <c r="L28" s="24">
        <f>(G28^2/설정!$C$13*H28+I28)*J28</f>
        <v>4684.21802427001</v>
      </c>
    </row>
    <row r="29" spans="1:12">
      <c r="A29" s="5">
        <v>25</v>
      </c>
      <c r="B29" s="24">
        <f>ROUND(설정!$C$5*설정!$D$5^$A29,0)</f>
        <v>329</v>
      </c>
      <c r="C29" s="24">
        <f>ROUND(설정!$C$6*설정!$D$6^$A29,0)</f>
        <v>760</v>
      </c>
      <c r="D29" s="24">
        <f>ROUND(설정!$C$7*설정!$D$7^$A29,0)</f>
        <v>2385</v>
      </c>
      <c r="E29" s="24">
        <f>ROUND(설정!$C$8*설정!$D$8^$A29,0)</f>
        <v>10588</v>
      </c>
      <c r="F29" s="24">
        <f>ROUND(설정!$C$9*설정!$D$9^$A29,0)</f>
        <v>42338</v>
      </c>
      <c r="G29" s="25">
        <f>설정!$C$12+설정!$E$5*A29</f>
        <v>70</v>
      </c>
      <c r="H29" s="26">
        <f>1+설정!$E$6*A29</f>
        <v>2.5</v>
      </c>
      <c r="I29" s="24">
        <f>설정!$C$14*A29^설정!$E$7</f>
        <v>1313.26390220188</v>
      </c>
      <c r="J29" s="26">
        <f>1+설정!$E$8*A29</f>
        <v>2</v>
      </c>
      <c r="K29" s="26">
        <f>1+설정!$E$9*A29</f>
        <v>3.5</v>
      </c>
      <c r="L29" s="24">
        <f>(G29^2/설정!$C$13*H29+I29)*J29</f>
        <v>5126.52780440377</v>
      </c>
    </row>
    <row r="30" spans="1:12">
      <c r="A30" s="5">
        <v>26</v>
      </c>
      <c r="B30" s="24">
        <f>ROUND(설정!$C$5*설정!$D$5^$A30,0)</f>
        <v>379</v>
      </c>
      <c r="C30" s="24">
        <f>ROUND(설정!$C$6*설정!$D$6^$A30,0)</f>
        <v>889</v>
      </c>
      <c r="D30" s="24">
        <f>ROUND(설정!$C$7*설정!$D$7^$A30,0)</f>
        <v>2862</v>
      </c>
      <c r="E30" s="24">
        <f>ROUND(설정!$C$8*설정!$D$8^$A30,0)</f>
        <v>13235</v>
      </c>
      <c r="F30" s="24">
        <f>ROUND(설정!$C$9*설정!$D$9^$A30,0)</f>
        <v>55040</v>
      </c>
      <c r="G30" s="25">
        <f>설정!$C$12+설정!$E$5*A30</f>
        <v>72.2</v>
      </c>
      <c r="H30" s="26">
        <f>1+설정!$E$6*A30</f>
        <v>2.56</v>
      </c>
      <c r="I30" s="24">
        <f>설정!$C$14*A30^설정!$E$7</f>
        <v>1381.95960287068</v>
      </c>
      <c r="J30" s="26">
        <f>1+설정!$E$8*A30</f>
        <v>2.04</v>
      </c>
      <c r="K30" s="26">
        <f>1+설정!$E$9*A30</f>
        <v>3.6</v>
      </c>
      <c r="L30" s="24">
        <f>(G30^2/설정!$C$13*H30+I30)*J30</f>
        <v>5597.10938740721</v>
      </c>
    </row>
    <row r="31" spans="1:12">
      <c r="A31" s="5">
        <v>27</v>
      </c>
      <c r="B31" s="24">
        <f>ROUND(설정!$C$5*설정!$D$5^$A31,0)</f>
        <v>435</v>
      </c>
      <c r="C31" s="24">
        <f>ROUND(설정!$C$6*설정!$D$6^$A31,0)</f>
        <v>1040</v>
      </c>
      <c r="D31" s="24">
        <f>ROUND(설정!$C$7*설정!$D$7^$A31,0)</f>
        <v>3434</v>
      </c>
      <c r="E31" s="24">
        <f>ROUND(설정!$C$8*설정!$D$8^$A31,0)</f>
        <v>16544</v>
      </c>
      <c r="F31" s="24">
        <f>ROUND(설정!$C$9*설정!$D$9^$A31,0)</f>
        <v>71552</v>
      </c>
      <c r="G31" s="25">
        <f>설정!$C$12+설정!$E$5*A31</f>
        <v>74.4</v>
      </c>
      <c r="H31" s="26">
        <f>1+설정!$E$6*A31</f>
        <v>2.62</v>
      </c>
      <c r="I31" s="24">
        <f>설정!$C$14*A31^설정!$E$7</f>
        <v>1451.45270494203</v>
      </c>
      <c r="J31" s="26">
        <f>1+설정!$E$8*A31</f>
        <v>2.08</v>
      </c>
      <c r="K31" s="26">
        <f>1+설정!$E$9*A31</f>
        <v>3.7</v>
      </c>
      <c r="L31" s="24">
        <f>(G31^2/설정!$C$13*H31+I31)*J31</f>
        <v>6097.13365240188</v>
      </c>
    </row>
    <row r="32" spans="1:12">
      <c r="A32" s="5">
        <v>28</v>
      </c>
      <c r="B32" s="24">
        <f>ROUND(설정!$C$5*설정!$D$5^$A32,0)</f>
        <v>501</v>
      </c>
      <c r="C32" s="24">
        <f>ROUND(설정!$C$6*설정!$D$6^$A32,0)</f>
        <v>1217</v>
      </c>
      <c r="D32" s="24">
        <f>ROUND(설정!$C$7*설정!$D$7^$A32,0)</f>
        <v>4121</v>
      </c>
      <c r="E32" s="24">
        <f>ROUND(설정!$C$8*설정!$D$8^$A32,0)</f>
        <v>20680</v>
      </c>
      <c r="F32" s="24">
        <f>ROUND(설정!$C$9*설정!$D$9^$A32,0)</f>
        <v>93018</v>
      </c>
      <c r="G32" s="25">
        <f>설정!$C$12+설정!$E$5*A32</f>
        <v>76.6</v>
      </c>
      <c r="H32" s="26">
        <f>1+설정!$E$6*A32</f>
        <v>2.68</v>
      </c>
      <c r="I32" s="24">
        <f>설정!$C$14*A32^설정!$E$7</f>
        <v>1521.72241002131</v>
      </c>
      <c r="J32" s="26">
        <f>1+설정!$E$8*A32</f>
        <v>2.12</v>
      </c>
      <c r="K32" s="26">
        <f>1+설정!$E$9*A32</f>
        <v>3.8</v>
      </c>
      <c r="L32" s="24">
        <f>(G32^2/설정!$C$13*H32+I32)*J32</f>
        <v>6627.7993557758</v>
      </c>
    </row>
    <row r="33" spans="1:12">
      <c r="A33" s="5">
        <v>29</v>
      </c>
      <c r="B33" s="24">
        <f>ROUND(설정!$C$5*설정!$D$5^$A33,0)</f>
        <v>576</v>
      </c>
      <c r="C33" s="24">
        <f>ROUND(설정!$C$6*설정!$D$6^$A33,0)</f>
        <v>1424</v>
      </c>
      <c r="D33" s="24">
        <f>ROUND(설정!$C$7*설정!$D$7^$A33,0)</f>
        <v>4945</v>
      </c>
      <c r="E33" s="24">
        <f>ROUND(설정!$C$8*설정!$D$8^$A33,0)</f>
        <v>25849</v>
      </c>
      <c r="F33" s="24">
        <f>ROUND(설정!$C$9*설정!$D$9^$A33,0)</f>
        <v>120923</v>
      </c>
      <c r="G33" s="25">
        <f>설정!$C$12+설정!$E$5*A33</f>
        <v>78.8</v>
      </c>
      <c r="H33" s="26">
        <f>1+설정!$E$6*A33</f>
        <v>2.74</v>
      </c>
      <c r="I33" s="24">
        <f>설정!$C$14*A33^설정!$E$7</f>
        <v>1592.74919015024</v>
      </c>
      <c r="J33" s="26">
        <f>1+설정!$E$8*A33</f>
        <v>2.16</v>
      </c>
      <c r="K33" s="26">
        <f>1+설정!$E$9*A33</f>
        <v>3.9</v>
      </c>
      <c r="L33" s="24">
        <f>(G33^2/설정!$C$13*H33+I33)*J33</f>
        <v>7190.33311766329</v>
      </c>
    </row>
    <row r="34" spans="1:12">
      <c r="A34" s="5">
        <v>30</v>
      </c>
      <c r="B34" s="24">
        <f>ROUND(설정!$C$5*설정!$D$5^$A34,0)</f>
        <v>662</v>
      </c>
      <c r="C34" s="24">
        <f>ROUND(설정!$C$6*설정!$D$6^$A34,0)</f>
        <v>1666</v>
      </c>
      <c r="D34" s="24">
        <f>ROUND(설정!$C$7*설정!$D$7^$A34,0)</f>
        <v>5934</v>
      </c>
      <c r="E34" s="24">
        <f>ROUND(설정!$C$8*설정!$D$8^$A34,0)</f>
        <v>32312</v>
      </c>
      <c r="F34" s="24">
        <f>ROUND(설정!$C$9*설정!$D$9^$A34,0)</f>
        <v>157200</v>
      </c>
      <c r="G34" s="25">
        <f>설정!$C$12+설정!$E$5*A34</f>
        <v>81</v>
      </c>
      <c r="H34" s="26">
        <f>1+설정!$E$6*A34</f>
        <v>2.8</v>
      </c>
      <c r="I34" s="24">
        <f>설정!$C$14*A34^설정!$E$7</f>
        <v>1664.51466880331</v>
      </c>
      <c r="J34" s="26">
        <f>1+설정!$E$8*A34</f>
        <v>2.2</v>
      </c>
      <c r="K34" s="26">
        <f>1+설정!$E$9*A34</f>
        <v>4</v>
      </c>
      <c r="L34" s="24">
        <f>(G34^2/설정!$C$13*H34+I34)*J34</f>
        <v>7785.98941422442</v>
      </c>
    </row>
    <row r="35" spans="1:12">
      <c r="A35" s="5">
        <v>31</v>
      </c>
      <c r="B35" s="24">
        <f>ROUND(설정!$C$5*설정!$D$5^$A35,0)</f>
        <v>761</v>
      </c>
      <c r="C35" s="24">
        <f>ROUND(설정!$C$6*설정!$D$6^$A35,0)</f>
        <v>1949</v>
      </c>
      <c r="D35" s="24">
        <f>ROUND(설정!$C$7*설정!$D$7^$A35,0)</f>
        <v>7121</v>
      </c>
      <c r="E35" s="24">
        <f>ROUND(설정!$C$8*설정!$D$8^$A35,0)</f>
        <v>40390</v>
      </c>
      <c r="F35" s="24">
        <f>ROUND(설정!$C$9*설정!$D$9^$A35,0)</f>
        <v>204360</v>
      </c>
      <c r="G35" s="25">
        <f>설정!$C$12+설정!$E$5*A35</f>
        <v>83.2</v>
      </c>
      <c r="H35" s="26">
        <f>1+설정!$E$6*A35</f>
        <v>2.86</v>
      </c>
      <c r="I35" s="24">
        <f>설정!$C$14*A35^설정!$E$7</f>
        <v>1737.00151665105</v>
      </c>
      <c r="J35" s="26">
        <f>1+설정!$E$8*A35</f>
        <v>2.24</v>
      </c>
      <c r="K35" s="26">
        <f>1+설정!$E$9*A35</f>
        <v>4.1</v>
      </c>
      <c r="L35" s="24">
        <f>(G35^2/설정!$C$13*H35+I35)*J35</f>
        <v>8416.05057444122</v>
      </c>
    </row>
    <row r="36" spans="1:12">
      <c r="A36" s="5">
        <v>32</v>
      </c>
      <c r="B36" s="24">
        <f>ROUND(설정!$C$5*설정!$D$5^$A36,0)</f>
        <v>876</v>
      </c>
      <c r="C36" s="24">
        <f>ROUND(설정!$C$6*설정!$D$6^$A36,0)</f>
        <v>2281</v>
      </c>
      <c r="D36" s="24">
        <f>ROUND(설정!$C$7*설정!$D$7^$A36,0)</f>
        <v>8546</v>
      </c>
      <c r="E36" s="24">
        <f>ROUND(설정!$C$8*설정!$D$8^$A36,0)</f>
        <v>50487</v>
      </c>
      <c r="F36" s="24">
        <f>ROUND(설정!$C$9*설정!$D$9^$A36,0)</f>
        <v>265668</v>
      </c>
      <c r="G36" s="25">
        <f>설정!$C$12+설정!$E$5*A36</f>
        <v>85.4</v>
      </c>
      <c r="H36" s="26">
        <f>1+설정!$E$6*A36</f>
        <v>2.92</v>
      </c>
      <c r="I36" s="24">
        <f>설정!$C$14*A36^설정!$E$7</f>
        <v>1810.19335983756</v>
      </c>
      <c r="J36" s="26">
        <f>1+설정!$E$8*A36</f>
        <v>2.28</v>
      </c>
      <c r="K36" s="26">
        <f>1+설정!$E$9*A36</f>
        <v>4.2</v>
      </c>
      <c r="L36" s="24">
        <f>(G36^2/설정!$C$13*H36+I36)*J36</f>
        <v>9081.82678042964</v>
      </c>
    </row>
    <row r="37" spans="1:12">
      <c r="A37" s="5">
        <v>33</v>
      </c>
      <c r="B37" s="24">
        <f>ROUND(설정!$C$5*설정!$D$5^$A37,0)</f>
        <v>1007</v>
      </c>
      <c r="C37" s="24">
        <f>ROUND(설정!$C$6*설정!$D$6^$A37,0)</f>
        <v>2668</v>
      </c>
      <c r="D37" s="24">
        <f>ROUND(설정!$C$7*설정!$D$7^$A37,0)</f>
        <v>10255</v>
      </c>
      <c r="E37" s="24">
        <f>ROUND(설정!$C$8*설정!$D$8^$A37,0)</f>
        <v>63109</v>
      </c>
      <c r="F37" s="24">
        <f>ROUND(설정!$C$9*설정!$D$9^$A37,0)</f>
        <v>345368</v>
      </c>
      <c r="G37" s="25">
        <f>설정!$C$12+설정!$E$5*A37</f>
        <v>87.6</v>
      </c>
      <c r="H37" s="26">
        <f>1+설정!$E$6*A37</f>
        <v>2.98</v>
      </c>
      <c r="I37" s="24">
        <f>설정!$C$14*A37^설정!$E$7</f>
        <v>1884.07469892345</v>
      </c>
      <c r="J37" s="26">
        <f>1+설정!$E$8*A37</f>
        <v>2.32</v>
      </c>
      <c r="K37" s="26">
        <f>1+설정!$E$9*A37</f>
        <v>4.3</v>
      </c>
      <c r="L37" s="24">
        <f>(G37^2/설정!$C$13*H37+I37)*J37</f>
        <v>9784.656070482</v>
      </c>
    </row>
    <row r="38" spans="1:12">
      <c r="A38" s="5">
        <v>34</v>
      </c>
      <c r="B38" s="24">
        <f>ROUND(설정!$C$5*설정!$D$5^$A38,0)</f>
        <v>1158</v>
      </c>
      <c r="C38" s="24">
        <f>ROUND(설정!$C$6*설정!$D$6^$A38,0)</f>
        <v>3122</v>
      </c>
      <c r="D38" s="24">
        <f>ROUND(설정!$C$7*설정!$D$7^$A38,0)</f>
        <v>12306</v>
      </c>
      <c r="E38" s="24">
        <f>ROUND(설정!$C$8*설정!$D$8^$A38,0)</f>
        <v>78886</v>
      </c>
      <c r="F38" s="24">
        <f>ROUND(설정!$C$9*설정!$D$9^$A38,0)</f>
        <v>448978</v>
      </c>
      <c r="G38" s="25">
        <f>설정!$C$12+설정!$E$5*A38</f>
        <v>89.8</v>
      </c>
      <c r="H38" s="26">
        <f>1+설정!$E$6*A38</f>
        <v>3.04</v>
      </c>
      <c r="I38" s="24">
        <f>설정!$C$14*A38^설정!$E$7</f>
        <v>1958.63083696666</v>
      </c>
      <c r="J38" s="26">
        <f>1+설정!$E$8*A38</f>
        <v>2.36</v>
      </c>
      <c r="K38" s="26">
        <f>1+설정!$E$9*A38</f>
        <v>4.4</v>
      </c>
      <c r="L38" s="24">
        <f>(G38^2/설정!$C$13*H38+I38)*J38</f>
        <v>10525.9043442209</v>
      </c>
    </row>
    <row r="39" spans="1:12">
      <c r="A39" s="5">
        <v>35</v>
      </c>
      <c r="B39" s="24">
        <f>ROUND(설정!$C$5*설정!$D$5^$A39,0)</f>
        <v>1332</v>
      </c>
      <c r="C39" s="24">
        <f>ROUND(설정!$C$6*설정!$D$6^$A39,0)</f>
        <v>3653</v>
      </c>
      <c r="D39" s="24">
        <f>ROUND(설정!$C$7*설정!$D$7^$A39,0)</f>
        <v>14767</v>
      </c>
      <c r="E39" s="24">
        <f>ROUND(설정!$C$8*설정!$D$8^$A39,0)</f>
        <v>98608</v>
      </c>
      <c r="F39" s="24">
        <f>ROUND(설정!$C$9*설정!$D$9^$A39,0)</f>
        <v>583672</v>
      </c>
      <c r="G39" s="25">
        <f>설정!$C$12+설정!$E$5*A39</f>
        <v>92</v>
      </c>
      <c r="H39" s="26">
        <f>1+설정!$E$6*A39</f>
        <v>3.1</v>
      </c>
      <c r="I39" s="24">
        <f>설정!$C$14*A39^설정!$E$7</f>
        <v>2033.84781547096</v>
      </c>
      <c r="J39" s="26">
        <f>1+설정!$E$8*A39</f>
        <v>2.4</v>
      </c>
      <c r="K39" s="26">
        <f>1+설정!$E$9*A39</f>
        <v>4.5</v>
      </c>
      <c r="L39" s="24">
        <f>(G39^2/설정!$C$13*H39+I39)*J39</f>
        <v>11306.9653693752</v>
      </c>
    </row>
    <row r="40" spans="1:12">
      <c r="A40" s="5">
        <v>36</v>
      </c>
      <c r="B40" s="24">
        <f>ROUND(설정!$C$5*설정!$D$5^$A40,0)</f>
        <v>1532</v>
      </c>
      <c r="C40" s="24">
        <f>ROUND(설정!$C$6*설정!$D$6^$A40,0)</f>
        <v>4273</v>
      </c>
      <c r="D40" s="24">
        <f>ROUND(설정!$C$7*설정!$D$7^$A40,0)</f>
        <v>17720</v>
      </c>
      <c r="E40" s="24">
        <f>ROUND(설정!$C$8*설정!$D$8^$A40,0)</f>
        <v>123260</v>
      </c>
      <c r="F40" s="24">
        <f>ROUND(설정!$C$9*설정!$D$9^$A40,0)</f>
        <v>758773</v>
      </c>
      <c r="G40" s="25">
        <f>설정!$C$12+설정!$E$5*A40</f>
        <v>94.2</v>
      </c>
      <c r="H40" s="26">
        <f>1+설정!$E$6*A40</f>
        <v>3.16</v>
      </c>
      <c r="I40" s="24">
        <f>설정!$C$14*A40^설정!$E$7</f>
        <v>2109.71235714014</v>
      </c>
      <c r="J40" s="26">
        <f>1+설정!$E$8*A40</f>
        <v>2.44</v>
      </c>
      <c r="K40" s="26">
        <f>1+설정!$E$9*A40</f>
        <v>4.6</v>
      </c>
      <c r="L40" s="24">
        <f>(G40^2/설정!$C$13*H40+I40)*J40</f>
        <v>12129.2607897893</v>
      </c>
    </row>
    <row r="41" spans="1:12">
      <c r="A41" s="5">
        <v>37</v>
      </c>
      <c r="B41" s="24">
        <f>ROUND(설정!$C$5*설정!$D$5^$A41,0)</f>
        <v>1761</v>
      </c>
      <c r="C41" s="24">
        <f>ROUND(설정!$C$6*설정!$D$6^$A41,0)</f>
        <v>5000</v>
      </c>
      <c r="D41" s="24">
        <f>ROUND(설정!$C$7*설정!$D$7^$A41,0)</f>
        <v>21264</v>
      </c>
      <c r="E41" s="24">
        <f>ROUND(설정!$C$8*설정!$D$8^$A41,0)</f>
        <v>154074</v>
      </c>
      <c r="F41" s="24">
        <f>ROUND(설정!$C$9*설정!$D$9^$A41,0)</f>
        <v>986405</v>
      </c>
      <c r="G41" s="25">
        <f>설정!$C$12+설정!$E$5*A41</f>
        <v>96.4</v>
      </c>
      <c r="H41" s="26">
        <f>1+설정!$E$6*A41</f>
        <v>3.22</v>
      </c>
      <c r="I41" s="24">
        <f>설정!$C$14*A41^설정!$E$7</f>
        <v>2186.21181454475</v>
      </c>
      <c r="J41" s="26">
        <f>1+설정!$E$8*A41</f>
        <v>2.48</v>
      </c>
      <c r="K41" s="26">
        <f>1+설정!$E$9*A41</f>
        <v>4.7</v>
      </c>
      <c r="L41" s="24">
        <f>(G41^2/설정!$C$13*H41+I41)*J41</f>
        <v>12994.2401343567</v>
      </c>
    </row>
    <row r="42" spans="1:12">
      <c r="A42" s="5">
        <v>38</v>
      </c>
      <c r="B42" s="24">
        <f>ROUND(설정!$C$5*설정!$D$5^$A42,0)</f>
        <v>2025</v>
      </c>
      <c r="C42" s="24">
        <f>ROUND(설정!$C$6*설정!$D$6^$A42,0)</f>
        <v>5850</v>
      </c>
      <c r="D42" s="24">
        <f>ROUND(설정!$C$7*설정!$D$7^$A42,0)</f>
        <v>25517</v>
      </c>
      <c r="E42" s="24">
        <f>ROUND(설정!$C$8*설정!$D$8^$A42,0)</f>
        <v>192593</v>
      </c>
      <c r="F42" s="24">
        <f>ROUND(설정!$C$9*설정!$D$9^$A42,0)</f>
        <v>1282327</v>
      </c>
      <c r="G42" s="25">
        <f>설정!$C$12+설정!$E$5*A42</f>
        <v>98.6</v>
      </c>
      <c r="H42" s="26">
        <f>1+설정!$E$6*A42</f>
        <v>3.28</v>
      </c>
      <c r="I42" s="24">
        <f>설정!$C$14*A42^설정!$E$7</f>
        <v>2263.33412394672</v>
      </c>
      <c r="J42" s="26">
        <f>1+설정!$E$8*A42</f>
        <v>2.52</v>
      </c>
      <c r="K42" s="26">
        <f>1+설정!$E$9*A42</f>
        <v>4.8</v>
      </c>
      <c r="L42" s="24">
        <f>(G42^2/설정!$C$13*H42+I42)*J42</f>
        <v>13903.3808266315</v>
      </c>
    </row>
    <row r="43" spans="1:12">
      <c r="A43" s="5">
        <v>39</v>
      </c>
      <c r="B43" s="24">
        <f>ROUND(설정!$C$5*설정!$D$5^$A43,0)</f>
        <v>2329</v>
      </c>
      <c r="C43" s="24">
        <f>ROUND(설정!$C$6*설정!$D$6^$A43,0)</f>
        <v>6844</v>
      </c>
      <c r="D43" s="24">
        <f>ROUND(설정!$C$7*설정!$D$7^$A43,0)</f>
        <v>30620</v>
      </c>
      <c r="E43" s="24">
        <f>ROUND(설정!$C$8*설정!$D$8^$A43,0)</f>
        <v>240741</v>
      </c>
      <c r="F43" s="24">
        <f>ROUND(설정!$C$9*설정!$D$9^$A43,0)</f>
        <v>1667025</v>
      </c>
      <c r="G43" s="25">
        <f>설정!$C$12+설정!$E$5*A43</f>
        <v>100.8</v>
      </c>
      <c r="H43" s="26">
        <f>1+설정!$E$6*A43</f>
        <v>3.34</v>
      </c>
      <c r="I43" s="24">
        <f>설정!$C$14*A43^설정!$E$7</f>
        <v>2341.06776364076</v>
      </c>
      <c r="J43" s="26">
        <f>1+설정!$E$8*A43</f>
        <v>2.56</v>
      </c>
      <c r="K43" s="26">
        <f>1+설정!$E$9*A43</f>
        <v>4.9</v>
      </c>
      <c r="L43" s="24">
        <f>(G43^2/설정!$C$13*H43+I43)*J43</f>
        <v>14858.1881949204</v>
      </c>
    </row>
    <row r="44" spans="1:12">
      <c r="A44" s="5">
        <v>40</v>
      </c>
      <c r="B44" s="24">
        <f>ROUND(설정!$C$5*설정!$D$5^$A44,0)</f>
        <v>2679</v>
      </c>
      <c r="C44" s="24">
        <f>ROUND(설정!$C$6*설정!$D$6^$A44,0)</f>
        <v>8008</v>
      </c>
      <c r="D44" s="24">
        <f>ROUND(설정!$C$7*설정!$D$7^$A44,0)</f>
        <v>36744</v>
      </c>
      <c r="E44" s="24">
        <f>ROUND(설정!$C$8*설정!$D$8^$A44,0)</f>
        <v>300927</v>
      </c>
      <c r="F44" s="24">
        <f>ROUND(설정!$C$9*설정!$D$9^$A44,0)</f>
        <v>2167132</v>
      </c>
      <c r="G44" s="25">
        <f>설정!$C$12+설정!$E$5*A44</f>
        <v>103</v>
      </c>
      <c r="H44" s="26">
        <f>1+설정!$E$6*A44</f>
        <v>3.4</v>
      </c>
      <c r="I44" s="24">
        <f>설정!$C$14*A44^설정!$E$7</f>
        <v>2419.40171626578</v>
      </c>
      <c r="J44" s="26">
        <f>1+설정!$E$8*A44</f>
        <v>2.6</v>
      </c>
      <c r="K44" s="26">
        <f>1+설정!$E$9*A44</f>
        <v>5</v>
      </c>
      <c r="L44" s="24">
        <f>(G44^2/설정!$C$13*H44+I44)*J44</f>
        <v>15860.1954826992</v>
      </c>
    </row>
    <row r="45" spans="1:12">
      <c r="A45" s="5">
        <v>41</v>
      </c>
      <c r="B45" s="24">
        <f>ROUND(설정!$C$5*설정!$D$5^$A45,0)</f>
        <v>3080</v>
      </c>
      <c r="C45" s="24">
        <f>ROUND(설정!$C$6*설정!$D$6^$A45,0)</f>
        <v>9369</v>
      </c>
      <c r="D45" s="24">
        <f>ROUND(설정!$C$7*설정!$D$7^$A45,0)</f>
        <v>44093</v>
      </c>
      <c r="E45" s="24">
        <f>ROUND(설정!$C$8*설정!$D$8^$A45,0)</f>
        <v>376158</v>
      </c>
      <c r="F45" s="24">
        <f>ROUND(설정!$C$9*설정!$D$9^$A45,0)</f>
        <v>2817271</v>
      </c>
      <c r="G45" s="25">
        <f>설정!$C$12+설정!$E$5*A45</f>
        <v>105.2</v>
      </c>
      <c r="H45" s="26">
        <f>1+설정!$E$6*A45</f>
        <v>3.46</v>
      </c>
      <c r="I45" s="24">
        <f>설정!$C$14*A45^설정!$E$7</f>
        <v>2498.32543461766</v>
      </c>
      <c r="J45" s="26">
        <f>1+설정!$E$8*A45</f>
        <v>2.64</v>
      </c>
      <c r="K45" s="26">
        <f>1+설정!$E$9*A45</f>
        <v>5.1</v>
      </c>
      <c r="L45" s="24">
        <f>(G45^2/설정!$C$13*H45+I45)*J45</f>
        <v>16910.9638592274</v>
      </c>
    </row>
    <row r="46" spans="1:12">
      <c r="A46" s="5">
        <v>42</v>
      </c>
      <c r="B46" s="24">
        <f>ROUND(설정!$C$5*설정!$D$5^$A46,0)</f>
        <v>3542</v>
      </c>
      <c r="C46" s="24">
        <f>ROUND(설정!$C$6*설정!$D$6^$A46,0)</f>
        <v>10962</v>
      </c>
      <c r="D46" s="24">
        <f>ROUND(설정!$C$7*설정!$D$7^$A46,0)</f>
        <v>52912</v>
      </c>
      <c r="E46" s="24">
        <f>ROUND(설정!$C$8*설정!$D$8^$A46,0)</f>
        <v>470198</v>
      </c>
      <c r="F46" s="24">
        <f>ROUND(설정!$C$9*설정!$D$9^$A46,0)</f>
        <v>3662453</v>
      </c>
      <c r="G46" s="25">
        <f>설정!$C$12+설정!$E$5*A46</f>
        <v>107.4</v>
      </c>
      <c r="H46" s="26">
        <f>1+설정!$E$6*A46</f>
        <v>3.52</v>
      </c>
      <c r="I46" s="24">
        <f>설정!$C$14*A46^설정!$E$7</f>
        <v>2577.82881056039</v>
      </c>
      <c r="J46" s="26">
        <f>1+설정!$E$8*A46</f>
        <v>2.68</v>
      </c>
      <c r="K46" s="26">
        <f>1+설정!$E$9*A46</f>
        <v>5.2</v>
      </c>
      <c r="L46" s="24">
        <f>(G46^2/설정!$C$13*H46+I46)*J46</f>
        <v>18012.082430261</v>
      </c>
    </row>
    <row r="47" spans="1:12">
      <c r="A47" s="5">
        <v>43</v>
      </c>
      <c r="B47" s="24">
        <f>ROUND(설정!$C$5*설정!$D$5^$A47,0)</f>
        <v>4074</v>
      </c>
      <c r="C47" s="24">
        <f>ROUND(설정!$C$6*설정!$D$6^$A47,0)</f>
        <v>12826</v>
      </c>
      <c r="D47" s="24">
        <f>ROUND(설정!$C$7*설정!$D$7^$A47,0)</f>
        <v>63494</v>
      </c>
      <c r="E47" s="24">
        <f>ROUND(설정!$C$8*설정!$D$8^$A47,0)</f>
        <v>587747</v>
      </c>
      <c r="F47" s="24">
        <f>ROUND(설정!$C$9*설정!$D$9^$A47,0)</f>
        <v>4761189</v>
      </c>
      <c r="G47" s="25">
        <f>설정!$C$12+설정!$E$5*A47</f>
        <v>109.6</v>
      </c>
      <c r="H47" s="26">
        <f>1+설정!$E$6*A47</f>
        <v>3.58</v>
      </c>
      <c r="I47" s="24">
        <f>설정!$C$14*A47^설정!$E$7</f>
        <v>2657.90214668716</v>
      </c>
      <c r="J47" s="26">
        <f>1+설정!$E$8*A47</f>
        <v>2.72</v>
      </c>
      <c r="K47" s="26">
        <f>1+설정!$E$9*A47</f>
        <v>5.3</v>
      </c>
      <c r="L47" s="24">
        <f>(G47^2/설정!$C$13*H47+I47)*J47</f>
        <v>19165.168248785</v>
      </c>
    </row>
    <row r="48" spans="1:12">
      <c r="A48" s="5">
        <v>44</v>
      </c>
      <c r="B48" s="24">
        <f>ROUND(설정!$C$5*설정!$D$5^$A48,0)</f>
        <v>4685</v>
      </c>
      <c r="C48" s="24">
        <f>ROUND(설정!$C$6*설정!$D$6^$A48,0)</f>
        <v>15006</v>
      </c>
      <c r="D48" s="24">
        <f>ROUND(설정!$C$7*설정!$D$7^$A48,0)</f>
        <v>76193</v>
      </c>
      <c r="E48" s="24">
        <f>ROUND(설정!$C$8*설정!$D$8^$A48,0)</f>
        <v>734684</v>
      </c>
      <c r="F48" s="24">
        <f>ROUND(설정!$C$9*설정!$D$9^$A48,0)</f>
        <v>6189545</v>
      </c>
      <c r="G48" s="25">
        <f>설정!$C$12+설정!$E$5*A48</f>
        <v>111.8</v>
      </c>
      <c r="H48" s="26">
        <f>1+설정!$E$6*A48</f>
        <v>3.64</v>
      </c>
      <c r="I48" s="24">
        <f>설정!$C$14*A48^설정!$E$7</f>
        <v>2738.53613042984</v>
      </c>
      <c r="J48" s="26">
        <f>1+설정!$E$8*A48</f>
        <v>2.76</v>
      </c>
      <c r="K48" s="26">
        <f>1+설정!$E$9*A48</f>
        <v>5.4</v>
      </c>
      <c r="L48" s="24">
        <f>(G48^2/설정!$C$13*H48+I48)*J48</f>
        <v>20371.8663257006</v>
      </c>
    </row>
    <row r="49" spans="1:12">
      <c r="A49" s="5">
        <v>45</v>
      </c>
      <c r="B49" s="24">
        <f>ROUND(설정!$C$5*설정!$D$5^$A49,0)</f>
        <v>5388</v>
      </c>
      <c r="C49" s="24">
        <f>ROUND(설정!$C$6*설정!$D$6^$A49,0)</f>
        <v>17557</v>
      </c>
      <c r="D49" s="24">
        <f>ROUND(설정!$C$7*설정!$D$7^$A49,0)</f>
        <v>91432</v>
      </c>
      <c r="E49" s="24">
        <f>ROUND(설정!$C$8*설정!$D$8^$A49,0)</f>
        <v>918355</v>
      </c>
      <c r="F49" s="24">
        <f>ROUND(설정!$C$9*설정!$D$9^$A49,0)</f>
        <v>8046409</v>
      </c>
      <c r="G49" s="25">
        <f>설정!$C$12+설정!$E$5*A49</f>
        <v>114</v>
      </c>
      <c r="H49" s="26">
        <f>1+설정!$E$6*A49</f>
        <v>3.7</v>
      </c>
      <c r="I49" s="24">
        <f>설정!$C$14*A49^설정!$E$7</f>
        <v>2819.721810354</v>
      </c>
      <c r="J49" s="26">
        <f>1+설정!$E$8*A49</f>
        <v>2.8</v>
      </c>
      <c r="K49" s="26">
        <f>1+설정!$E$9*A49</f>
        <v>5.5</v>
      </c>
      <c r="L49" s="24">
        <f>(G49^2/설정!$C$13*H49+I49)*J49</f>
        <v>21633.8496404198</v>
      </c>
    </row>
    <row r="50" spans="1:12">
      <c r="A50" s="5">
        <v>46</v>
      </c>
      <c r="B50" s="24">
        <f>ROUND(설정!$C$5*설정!$D$5^$A50,0)</f>
        <v>6196</v>
      </c>
      <c r="C50" s="24">
        <f>ROUND(설정!$C$6*설정!$D$6^$A50,0)</f>
        <v>20542</v>
      </c>
      <c r="D50" s="24">
        <f>ROUND(설정!$C$7*설정!$D$7^$A50,0)</f>
        <v>109718</v>
      </c>
      <c r="E50" s="24">
        <f>ROUND(설정!$C$8*설정!$D$8^$A50,0)</f>
        <v>1147944</v>
      </c>
      <c r="F50" s="24">
        <f>ROUND(설정!$C$9*설정!$D$9^$A50,0)</f>
        <v>10460332</v>
      </c>
      <c r="G50" s="25">
        <f>설정!$C$12+설정!$E$5*A50</f>
        <v>116.2</v>
      </c>
      <c r="H50" s="26">
        <f>1+설정!$E$6*A50</f>
        <v>3.76</v>
      </c>
      <c r="I50" s="24">
        <f>설정!$C$14*A50^설정!$E$7</f>
        <v>2901.45057441055</v>
      </c>
      <c r="J50" s="26">
        <f>1+설정!$E$8*A50</f>
        <v>2.84</v>
      </c>
      <c r="K50" s="26">
        <f>1+설정!$E$9*A50</f>
        <v>5.6</v>
      </c>
      <c r="L50" s="24">
        <f>(G50^2/설정!$C$13*H50+I50)*J50</f>
        <v>22952.819151326</v>
      </c>
    </row>
    <row r="51" spans="1:12">
      <c r="A51" s="5">
        <v>47</v>
      </c>
      <c r="B51" s="24">
        <f>ROUND(설정!$C$5*설정!$D$5^$A51,0)</f>
        <v>7125</v>
      </c>
      <c r="C51" s="24">
        <f>ROUND(설정!$C$6*설정!$D$6^$A51,0)</f>
        <v>24034</v>
      </c>
      <c r="D51" s="24">
        <f>ROUND(설정!$C$7*설정!$D$7^$A51,0)</f>
        <v>131661</v>
      </c>
      <c r="E51" s="24">
        <f>ROUND(설정!$C$8*설정!$D$8^$A51,0)</f>
        <v>1434930</v>
      </c>
      <c r="F51" s="24">
        <f>ROUND(설정!$C$9*설정!$D$9^$A51,0)</f>
        <v>13598431</v>
      </c>
      <c r="G51" s="25">
        <f>설정!$C$12+설정!$E$5*A51</f>
        <v>118.4</v>
      </c>
      <c r="H51" s="26">
        <f>1+설정!$E$6*A51</f>
        <v>3.82</v>
      </c>
      <c r="I51" s="24">
        <f>설정!$C$14*A51^설정!$E$7</f>
        <v>2983.71412994318</v>
      </c>
      <c r="J51" s="26">
        <f>1+설정!$E$8*A51</f>
        <v>2.88</v>
      </c>
      <c r="K51" s="26">
        <f>1+설정!$E$9*A51</f>
        <v>5.7</v>
      </c>
      <c r="L51" s="24">
        <f>(G51^2/설정!$C$13*H51+I51)*J51</f>
        <v>24330.5038060731</v>
      </c>
    </row>
    <row r="52" spans="1:12">
      <c r="A52" s="5">
        <v>48</v>
      </c>
      <c r="B52" s="24">
        <f>ROUND(설정!$C$5*설정!$D$5^$A52,0)</f>
        <v>8194</v>
      </c>
      <c r="C52" s="24">
        <f>ROUND(설정!$C$6*설정!$D$6^$A52,0)</f>
        <v>28120</v>
      </c>
      <c r="D52" s="24">
        <f>ROUND(설정!$C$7*설정!$D$7^$A52,0)</f>
        <v>157994</v>
      </c>
      <c r="E52" s="24">
        <f>ROUND(설정!$C$8*설정!$D$8^$A52,0)</f>
        <v>1793662</v>
      </c>
      <c r="F52" s="24">
        <f>ROUND(설정!$C$9*설정!$D$9^$A52,0)</f>
        <v>17677961</v>
      </c>
      <c r="G52" s="25">
        <f>설정!$C$12+설정!$E$5*A52</f>
        <v>120.6</v>
      </c>
      <c r="H52" s="26">
        <f>1+설정!$E$6*A52</f>
        <v>3.88</v>
      </c>
      <c r="I52" s="24">
        <f>설정!$C$14*A52^설정!$E$7</f>
        <v>3066.50448527535</v>
      </c>
      <c r="J52" s="26">
        <f>1+설정!$E$8*A52</f>
        <v>2.92</v>
      </c>
      <c r="K52" s="26">
        <f>1+설정!$E$9*A52</f>
        <v>5.8</v>
      </c>
      <c r="L52" s="24">
        <f>(G52^2/설정!$C$13*H52+I52)*J52</f>
        <v>25768.6605516979</v>
      </c>
    </row>
    <row r="53" spans="1:12">
      <c r="A53" s="5">
        <v>49</v>
      </c>
      <c r="B53" s="24">
        <f>ROUND(설정!$C$5*설정!$D$5^$A53,0)</f>
        <v>9423</v>
      </c>
      <c r="C53" s="24">
        <f>ROUND(설정!$C$6*설정!$D$6^$A53,0)</f>
        <v>32900</v>
      </c>
      <c r="D53" s="24">
        <f>ROUND(설정!$C$7*설정!$D$7^$A53,0)</f>
        <v>189592</v>
      </c>
      <c r="E53" s="24">
        <f>ROUND(설정!$C$8*설정!$D$8^$A53,0)</f>
        <v>2242078</v>
      </c>
      <c r="F53" s="24">
        <f>ROUND(설정!$C$9*설정!$D$9^$A53,0)</f>
        <v>22981349</v>
      </c>
      <c r="G53" s="25">
        <f>설정!$C$12+설정!$E$5*A53</f>
        <v>122.8</v>
      </c>
      <c r="H53" s="26">
        <f>1+설정!$E$6*A53</f>
        <v>3.94</v>
      </c>
      <c r="I53" s="24">
        <f>설정!$C$14*A53^설정!$E$7</f>
        <v>3149.81393272172</v>
      </c>
      <c r="J53" s="26">
        <f>1+설정!$E$8*A53</f>
        <v>2.96</v>
      </c>
      <c r="K53" s="26">
        <f>1+설정!$E$9*A53</f>
        <v>5.9</v>
      </c>
      <c r="L53" s="24">
        <f>(G53^2/설정!$C$13*H53+I53)*J53</f>
        <v>27269.0743445298</v>
      </c>
    </row>
    <row r="54" spans="1:12">
      <c r="A54" s="5">
        <v>50</v>
      </c>
      <c r="B54" s="24">
        <f>ROUND(설정!$C$5*설정!$D$5^$A54,0)</f>
        <v>10837</v>
      </c>
      <c r="C54" s="24">
        <f>ROUND(설정!$C$6*설정!$D$6^$A54,0)</f>
        <v>38493</v>
      </c>
      <c r="D54" s="24">
        <f>ROUND(설정!$C$7*설정!$D$7^$A54,0)</f>
        <v>227511</v>
      </c>
      <c r="E54" s="24">
        <f>ROUND(설정!$C$8*설정!$D$8^$A54,0)</f>
        <v>2802597</v>
      </c>
      <c r="F54" s="24">
        <f>ROUND(설정!$C$9*설정!$D$9^$A54,0)</f>
        <v>29875753</v>
      </c>
      <c r="G54" s="25">
        <f>설정!$C$12+설정!$E$5*A54</f>
        <v>125</v>
      </c>
      <c r="H54" s="26">
        <f>1+설정!$E$6*A54</f>
        <v>4</v>
      </c>
      <c r="I54" s="24">
        <f>설정!$C$14*A54^설정!$E$7</f>
        <v>3233.63503288679</v>
      </c>
      <c r="J54" s="26">
        <f>1+설정!$E$8*A54</f>
        <v>3</v>
      </c>
      <c r="K54" s="26">
        <f>1+설정!$E$9*A54</f>
        <v>6</v>
      </c>
      <c r="L54" s="24">
        <f>(G54^2/설정!$C$13*H54+I54)*J54</f>
        <v>28833.5581598849</v>
      </c>
    </row>
    <row r="55" spans="1:12">
      <c r="A55" s="5">
        <v>51</v>
      </c>
      <c r="B55" s="24">
        <f>ROUND(설정!$C$5*설정!$D$5^$A55,0)</f>
        <v>12462</v>
      </c>
      <c r="C55" s="24">
        <f>ROUND(설정!$C$6*설정!$D$6^$A55,0)</f>
        <v>45037</v>
      </c>
      <c r="D55" s="24">
        <f>ROUND(설정!$C$7*설정!$D$7^$A55,0)</f>
        <v>273013</v>
      </c>
      <c r="E55" s="24">
        <f>ROUND(설정!$C$8*설정!$D$8^$A55,0)</f>
        <v>3503246</v>
      </c>
      <c r="F55" s="24">
        <f>ROUND(설정!$C$9*설정!$D$9^$A55,0)</f>
        <v>38838479</v>
      </c>
      <c r="G55" s="25">
        <f>설정!$C$12+설정!$E$5*A55</f>
        <v>127.2</v>
      </c>
      <c r="H55" s="26">
        <f>1+설정!$E$6*A55</f>
        <v>4.06</v>
      </c>
      <c r="I55" s="24">
        <f>설정!$C$14*A55^설정!$E$7</f>
        <v>3317.96060012939</v>
      </c>
      <c r="J55" s="26">
        <f>1+설정!$E$8*A55</f>
        <v>3.04</v>
      </c>
      <c r="K55" s="26">
        <f>1+설정!$E$9*A55</f>
        <v>6.1</v>
      </c>
      <c r="L55" s="24">
        <f>(G55^2/설정!$C$13*H55+I55)*J55</f>
        <v>30463.9530015362</v>
      </c>
    </row>
    <row r="56" spans="1:12">
      <c r="A56" s="5">
        <v>52</v>
      </c>
      <c r="B56" s="24">
        <f>ROUND(설정!$C$5*설정!$D$5^$A56,0)</f>
        <v>14331</v>
      </c>
      <c r="C56" s="24">
        <f>ROUND(설정!$C$6*설정!$D$6^$A56,0)</f>
        <v>52693</v>
      </c>
      <c r="D56" s="24">
        <f>ROUND(설정!$C$7*설정!$D$7^$A56,0)</f>
        <v>327616</v>
      </c>
      <c r="E56" s="24">
        <f>ROUND(설정!$C$8*설정!$D$8^$A56,0)</f>
        <v>4379058</v>
      </c>
      <c r="F56" s="24">
        <f>ROUND(설정!$C$9*설정!$D$9^$A56,0)</f>
        <v>50490023</v>
      </c>
      <c r="G56" s="25">
        <f>설정!$C$12+설정!$E$5*A56</f>
        <v>129.4</v>
      </c>
      <c r="H56" s="26">
        <f>1+설정!$E$6*A56</f>
        <v>4.12</v>
      </c>
      <c r="I56" s="24">
        <f>설정!$C$14*A56^설정!$E$7</f>
        <v>3402.78368908519</v>
      </c>
      <c r="J56" s="26">
        <f>1+설정!$E$8*A56</f>
        <v>3.08</v>
      </c>
      <c r="K56" s="26">
        <f>1+설정!$E$9*A56</f>
        <v>6.2</v>
      </c>
      <c r="L56" s="24">
        <f>(G56^2/설정!$C$13*H56+I56)*J56</f>
        <v>32162.1279109538</v>
      </c>
    </row>
    <row r="57" spans="1:12">
      <c r="A57" s="5">
        <v>53</v>
      </c>
      <c r="B57" s="24">
        <f>ROUND(설정!$C$5*설정!$D$5^$A57,0)</f>
        <v>16481</v>
      </c>
      <c r="C57" s="24">
        <f>ROUND(설정!$C$6*설정!$D$6^$A57,0)</f>
        <v>61651</v>
      </c>
      <c r="D57" s="24">
        <f>ROUND(설정!$C$7*설정!$D$7^$A57,0)</f>
        <v>393139</v>
      </c>
      <c r="E57" s="24">
        <f>ROUND(설정!$C$8*설정!$D$8^$A57,0)</f>
        <v>5473822</v>
      </c>
      <c r="F57" s="24">
        <f>ROUND(설정!$C$9*설정!$D$9^$A57,0)</f>
        <v>65637030</v>
      </c>
      <c r="G57" s="25">
        <f>설정!$C$12+설정!$E$5*A57</f>
        <v>131.6</v>
      </c>
      <c r="H57" s="26">
        <f>1+설정!$E$6*A57</f>
        <v>4.18</v>
      </c>
      <c r="I57" s="24">
        <f>설정!$C$14*A57^설정!$E$7</f>
        <v>3488.09758215134</v>
      </c>
      <c r="J57" s="26">
        <f>1+설정!$E$8*A57</f>
        <v>3.12</v>
      </c>
      <c r="K57" s="26">
        <f>1+설정!$E$9*A57</f>
        <v>6.3</v>
      </c>
      <c r="L57" s="24">
        <f>(G57^2/설정!$C$13*H57+I57)*J57</f>
        <v>33929.9799763122</v>
      </c>
    </row>
    <row r="58" spans="1:12">
      <c r="A58" s="5">
        <v>54</v>
      </c>
      <c r="B58" s="24">
        <f>ROUND(설정!$C$5*설정!$D$5^$A58,0)</f>
        <v>18953</v>
      </c>
      <c r="C58" s="24">
        <f>ROUND(설정!$C$6*설정!$D$6^$A58,0)</f>
        <v>72132</v>
      </c>
      <c r="D58" s="24">
        <f>ROUND(설정!$C$7*설정!$D$7^$A58,0)</f>
        <v>471767</v>
      </c>
      <c r="E58" s="24">
        <f>ROUND(설정!$C$8*설정!$D$8^$A58,0)</f>
        <v>6842278</v>
      </c>
      <c r="F58" s="24">
        <f>ROUND(설정!$C$9*설정!$D$9^$A58,0)</f>
        <v>85328139</v>
      </c>
      <c r="G58" s="25">
        <f>설정!$C$12+설정!$E$5*A58</f>
        <v>133.8</v>
      </c>
      <c r="H58" s="26">
        <f>1+설정!$E$6*A58</f>
        <v>4.24</v>
      </c>
      <c r="I58" s="24">
        <f>설정!$C$14*A58^설정!$E$7</f>
        <v>3573.89577784751</v>
      </c>
      <c r="J58" s="26">
        <f>1+설정!$E$8*A58</f>
        <v>3.16</v>
      </c>
      <c r="K58" s="26">
        <f>1+설정!$E$9*A58</f>
        <v>6.4</v>
      </c>
      <c r="L58" s="24">
        <f>(G58^2/설정!$C$13*H58+I58)*J58</f>
        <v>35769.4343412634</v>
      </c>
    </row>
    <row r="59" spans="1:12">
      <c r="A59" s="5">
        <v>55</v>
      </c>
      <c r="B59" s="24">
        <f>ROUND(설정!$C$5*설정!$D$5^$A59,0)</f>
        <v>21796</v>
      </c>
      <c r="C59" s="24">
        <f>ROUND(설정!$C$6*설정!$D$6^$A59,0)</f>
        <v>84394</v>
      </c>
      <c r="D59" s="24">
        <f>ROUND(설정!$C$7*설정!$D$7^$A59,0)</f>
        <v>566120</v>
      </c>
      <c r="E59" s="24">
        <f>ROUND(설정!$C$8*설정!$D$8^$A59,0)</f>
        <v>8552847</v>
      </c>
      <c r="F59" s="24">
        <f>ROUND(설정!$C$9*설정!$D$9^$A59,0)</f>
        <v>110926581</v>
      </c>
      <c r="G59" s="25">
        <f>설정!$C$12+설정!$E$5*A59</f>
        <v>136</v>
      </c>
      <c r="H59" s="26">
        <f>1+설정!$E$6*A59</f>
        <v>4.3</v>
      </c>
      <c r="I59" s="24">
        <f>설정!$C$14*A59^설정!$E$7</f>
        <v>3660.17197997696</v>
      </c>
      <c r="J59" s="26">
        <f>1+설정!$E$8*A59</f>
        <v>3.2</v>
      </c>
      <c r="K59" s="26">
        <f>1+설정!$E$9*A59</f>
        <v>6.5</v>
      </c>
      <c r="L59" s="24">
        <f>(G59^2/설정!$C$13*H59+I59)*J59</f>
        <v>37682.4442134773</v>
      </c>
    </row>
    <row r="60" spans="1:12">
      <c r="A60" s="5">
        <v>56</v>
      </c>
      <c r="B60" s="24">
        <f>ROUND(설정!$C$5*설정!$D$5^$A60,0)</f>
        <v>25066</v>
      </c>
      <c r="C60" s="24">
        <f>ROUND(설정!$C$6*설정!$D$6^$A60,0)</f>
        <v>98741</v>
      </c>
      <c r="D60" s="24">
        <f>ROUND(설정!$C$7*설정!$D$7^$A60,0)</f>
        <v>679344</v>
      </c>
      <c r="E60" s="24">
        <f>ROUND(설정!$C$8*설정!$D$8^$A60,0)</f>
        <v>10691059</v>
      </c>
      <c r="F60" s="24">
        <f>ROUND(설정!$C$9*설정!$D$9^$A60,0)</f>
        <v>144204555</v>
      </c>
      <c r="G60" s="25">
        <f>설정!$C$12+설정!$E$5*A60</f>
        <v>138.2</v>
      </c>
      <c r="H60" s="26">
        <f>1+설정!$E$6*A60</f>
        <v>4.36</v>
      </c>
      <c r="I60" s="24">
        <f>설정!$C$14*A60^설정!$E$7</f>
        <v>3746.92008751901</v>
      </c>
      <c r="J60" s="26">
        <f>1+설정!$E$8*A60</f>
        <v>3.24</v>
      </c>
      <c r="K60" s="26">
        <f>1+설정!$E$9*A60</f>
        <v>6.6</v>
      </c>
      <c r="L60" s="24">
        <f>(G60^2/설정!$C$13*H60+I60)*J60</f>
        <v>39670.9908729493</v>
      </c>
    </row>
    <row r="61" spans="1:12">
      <c r="A61" s="5">
        <v>57</v>
      </c>
      <c r="B61" s="24">
        <f>ROUND(설정!$C$5*설정!$D$5^$A61,0)</f>
        <v>28826</v>
      </c>
      <c r="C61" s="24">
        <f>ROUND(설정!$C$6*설정!$D$6^$A61,0)</f>
        <v>115528</v>
      </c>
      <c r="D61" s="24">
        <f>ROUND(설정!$C$7*설정!$D$7^$A61,0)</f>
        <v>815213</v>
      </c>
      <c r="E61" s="24">
        <f>ROUND(설정!$C$8*설정!$D$8^$A61,0)</f>
        <v>13363824</v>
      </c>
      <c r="F61" s="24">
        <f>ROUND(설정!$C$9*설정!$D$9^$A61,0)</f>
        <v>187465922</v>
      </c>
      <c r="G61" s="25">
        <f>설정!$C$12+설정!$E$5*A61</f>
        <v>140.4</v>
      </c>
      <c r="H61" s="26">
        <f>1+설정!$E$6*A61</f>
        <v>4.42</v>
      </c>
      <c r="I61" s="24">
        <f>설정!$C$14*A61^설정!$E$7</f>
        <v>3834.13418519124</v>
      </c>
      <c r="J61" s="26">
        <f>1+설정!$E$8*A61</f>
        <v>3.28</v>
      </c>
      <c r="K61" s="26">
        <f>1+설정!$E$9*A61</f>
        <v>6.7</v>
      </c>
      <c r="L61" s="24">
        <f>(G61^2/설정!$C$13*H61+I61)*J61</f>
        <v>41737.0836800803</v>
      </c>
    </row>
    <row r="62" spans="1:12">
      <c r="A62" s="5">
        <v>58</v>
      </c>
      <c r="B62" s="24">
        <f>ROUND(설정!$C$5*설정!$D$5^$A62,0)</f>
        <v>33149</v>
      </c>
      <c r="C62" s="24">
        <f>ROUND(설정!$C$6*설정!$D$6^$A62,0)</f>
        <v>135167</v>
      </c>
      <c r="D62" s="24">
        <f>ROUND(설정!$C$7*설정!$D$7^$A62,0)</f>
        <v>978255</v>
      </c>
      <c r="E62" s="24">
        <f>ROUND(설정!$C$8*설정!$D$8^$A62,0)</f>
        <v>16704779</v>
      </c>
      <c r="F62" s="24">
        <f>ROUND(설정!$C$9*설정!$D$9^$A62,0)</f>
        <v>243705698</v>
      </c>
      <c r="G62" s="25">
        <f>설정!$C$12+설정!$E$5*A62</f>
        <v>142.6</v>
      </c>
      <c r="H62" s="26">
        <f>1+설정!$E$6*A62</f>
        <v>4.48</v>
      </c>
      <c r="I62" s="24">
        <f>설정!$C$14*A62^설정!$E$7</f>
        <v>3921.80853462621</v>
      </c>
      <c r="J62" s="26">
        <f>1+설정!$E$8*A62</f>
        <v>3.32</v>
      </c>
      <c r="K62" s="26">
        <f>1+설정!$E$9*A62</f>
        <v>6.8</v>
      </c>
      <c r="L62" s="24">
        <f>(G62^2/설정!$C$13*H62+I62)*J62</f>
        <v>43882.7600835305</v>
      </c>
    </row>
    <row r="63" spans="1:12">
      <c r="A63" s="5">
        <v>59</v>
      </c>
      <c r="B63" s="24">
        <f>ROUND(설정!$C$5*설정!$D$5^$A63,0)</f>
        <v>38122</v>
      </c>
      <c r="C63" s="24">
        <f>ROUND(설정!$C$6*설정!$D$6^$A63,0)</f>
        <v>158146</v>
      </c>
      <c r="D63" s="24">
        <f>ROUND(설정!$C$7*설정!$D$7^$A63,0)</f>
        <v>1173907</v>
      </c>
      <c r="E63" s="24">
        <f>ROUND(설정!$C$8*설정!$D$8^$A63,0)</f>
        <v>20880974</v>
      </c>
      <c r="F63" s="24">
        <f>ROUND(설정!$C$9*설정!$D$9^$A63,0)</f>
        <v>316817408</v>
      </c>
      <c r="G63" s="25">
        <f>설정!$C$12+설정!$E$5*A63</f>
        <v>144.8</v>
      </c>
      <c r="H63" s="26">
        <f>1+설정!$E$6*A63</f>
        <v>4.54</v>
      </c>
      <c r="I63" s="24">
        <f>설정!$C$14*A63^설정!$E$7</f>
        <v>4009.93756611259</v>
      </c>
      <c r="J63" s="26">
        <f>1+설정!$E$8*A63</f>
        <v>3.36</v>
      </c>
      <c r="K63" s="26">
        <f>1+설정!$E$9*A63</f>
        <v>6.9</v>
      </c>
      <c r="L63" s="24">
        <f>(G63^2/설정!$C$13*H63+I63)*J63</f>
        <v>46110.0856278526</v>
      </c>
    </row>
    <row r="64" spans="1:12">
      <c r="A64" s="5">
        <v>60</v>
      </c>
      <c r="B64" s="24">
        <f>ROUND(설정!$C$5*설정!$D$5^$A64,0)</f>
        <v>43840</v>
      </c>
      <c r="C64" s="24">
        <f>ROUND(설정!$C$6*설정!$D$6^$A64,0)</f>
        <v>185030</v>
      </c>
      <c r="D64" s="24">
        <f>ROUND(설정!$C$7*설정!$D$7^$A64,0)</f>
        <v>1408688</v>
      </c>
      <c r="E64" s="24">
        <f>ROUND(설정!$C$8*설정!$D$8^$A64,0)</f>
        <v>26101218</v>
      </c>
      <c r="F64" s="24">
        <f>ROUND(설정!$C$9*설정!$D$9^$A64,0)</f>
        <v>411862630</v>
      </c>
      <c r="G64" s="25">
        <f>설정!$C$12+설정!$E$5*A64</f>
        <v>147</v>
      </c>
      <c r="H64" s="26">
        <f>1+설정!$E$6*A64</f>
        <v>4.6</v>
      </c>
      <c r="I64" s="24">
        <f>설정!$C$14*A64^설정!$E$7</f>
        <v>4098.51587085572</v>
      </c>
      <c r="J64" s="26">
        <f>1+설정!$E$8*A64</f>
        <v>3.4</v>
      </c>
      <c r="K64" s="26">
        <f>1+설정!$E$9*A64</f>
        <v>7</v>
      </c>
      <c r="L64" s="24">
        <f>(G64^2/설정!$C$13*H64+I64)*J64</f>
        <v>48421.1539609094</v>
      </c>
    </row>
    <row r="65" spans="1:12">
      <c r="A65" s="5">
        <v>61</v>
      </c>
      <c r="B65" s="24">
        <f>ROUND(설정!$C$5*설정!$D$5^$A65,0)</f>
        <v>50416</v>
      </c>
      <c r="C65" s="24">
        <f>ROUND(설정!$C$6*설정!$D$6^$A65,0)</f>
        <v>216486</v>
      </c>
      <c r="D65" s="24">
        <f>ROUND(설정!$C$7*설정!$D$7^$A65,0)</f>
        <v>1690425</v>
      </c>
      <c r="E65" s="24">
        <f>ROUND(설정!$C$8*설정!$D$8^$A65,0)</f>
        <v>32626522</v>
      </c>
      <c r="F65" s="24">
        <f>ROUND(설정!$C$9*설정!$D$9^$A65,0)</f>
        <v>535421419</v>
      </c>
      <c r="G65" s="25">
        <f>설정!$C$12+설정!$E$5*A65</f>
        <v>149.2</v>
      </c>
      <c r="H65" s="26">
        <f>1+설정!$E$6*A65</f>
        <v>4.66</v>
      </c>
      <c r="I65" s="24">
        <f>설정!$C$14*A65^설정!$E$7</f>
        <v>4187.53819371669</v>
      </c>
      <c r="J65" s="26">
        <f>1+설정!$E$8*A65</f>
        <v>3.44</v>
      </c>
      <c r="K65" s="26">
        <f>1+설정!$E$9*A65</f>
        <v>7.1</v>
      </c>
      <c r="L65" s="24">
        <f>(G65^2/설정!$C$13*H65+I65)*J65</f>
        <v>50818.0868410793</v>
      </c>
    </row>
    <row r="66" spans="1:12">
      <c r="A66" s="5">
        <v>62</v>
      </c>
      <c r="B66" s="24">
        <f>ROUND(설정!$C$5*설정!$D$5^$A66,0)</f>
        <v>57978</v>
      </c>
      <c r="C66" s="24">
        <f>ROUND(설정!$C$6*설정!$D$6^$A66,0)</f>
        <v>253288</v>
      </c>
      <c r="D66" s="24">
        <f>ROUND(설정!$C$7*설정!$D$7^$A66,0)</f>
        <v>2028511</v>
      </c>
      <c r="E66" s="24">
        <f>ROUND(설정!$C$8*설정!$D$8^$A66,0)</f>
        <v>40783153</v>
      </c>
      <c r="F66" s="24">
        <f>ROUND(설정!$C$9*설정!$D$9^$A66,0)</f>
        <v>696047845</v>
      </c>
      <c r="G66" s="25">
        <f>설정!$C$12+설정!$E$5*A66</f>
        <v>151.4</v>
      </c>
      <c r="H66" s="26">
        <f>1+설정!$E$6*A66</f>
        <v>4.72</v>
      </c>
      <c r="I66" s="24">
        <f>설정!$C$14*A66^설정!$E$7</f>
        <v>4276.99942639318</v>
      </c>
      <c r="J66" s="26">
        <f>1+설정!$E$8*A66</f>
        <v>3.48</v>
      </c>
      <c r="K66" s="26">
        <f>1+설정!$E$9*A66</f>
        <v>7.2</v>
      </c>
      <c r="L66" s="24">
        <f>(G66^2/설정!$C$13*H66+I66)*J66</f>
        <v>53303.0341442564</v>
      </c>
    </row>
    <row r="67" spans="1:12">
      <c r="A67" s="5">
        <v>63</v>
      </c>
      <c r="B67" s="24">
        <f>ROUND(설정!$C$5*설정!$D$5^$A67,0)</f>
        <v>66675</v>
      </c>
      <c r="C67" s="24">
        <f>ROUND(설정!$C$6*설정!$D$6^$A67,0)</f>
        <v>296347</v>
      </c>
      <c r="D67" s="24">
        <f>ROUND(설정!$C$7*설정!$D$7^$A67,0)</f>
        <v>2434213</v>
      </c>
      <c r="E67" s="24">
        <f>ROUND(설정!$C$8*설정!$D$8^$A67,0)</f>
        <v>50978941</v>
      </c>
      <c r="F67" s="24">
        <f>ROUND(설정!$C$9*설정!$D$9^$A67,0)</f>
        <v>904862199</v>
      </c>
      <c r="G67" s="25">
        <f>설정!$C$12+설정!$E$5*A67</f>
        <v>153.6</v>
      </c>
      <c r="H67" s="26">
        <f>1+설정!$E$6*A67</f>
        <v>4.78</v>
      </c>
      <c r="I67" s="24">
        <f>설정!$C$14*A67^설정!$E$7</f>
        <v>4366.89460100815</v>
      </c>
      <c r="J67" s="26">
        <f>1+설정!$E$8*A67</f>
        <v>3.52</v>
      </c>
      <c r="K67" s="26">
        <f>1+설정!$E$9*A67</f>
        <v>7.3</v>
      </c>
      <c r="L67" s="24">
        <f>(G67^2/설정!$C$13*H67+I67)*J67</f>
        <v>55878.1738706507</v>
      </c>
    </row>
    <row r="68" spans="1:12">
      <c r="A68" s="5">
        <v>64</v>
      </c>
      <c r="B68" s="24">
        <f>ROUND(설정!$C$5*설정!$D$5^$A68,0)</f>
        <v>76676</v>
      </c>
      <c r="C68" s="24">
        <f>ROUND(설정!$C$6*설정!$D$6^$A68,0)</f>
        <v>346726</v>
      </c>
      <c r="D68" s="24">
        <f>ROUND(설정!$C$7*설정!$D$7^$A68,0)</f>
        <v>2921055</v>
      </c>
      <c r="E68" s="24">
        <f>ROUND(설정!$C$8*설정!$D$8^$A68,0)</f>
        <v>63723676</v>
      </c>
      <c r="F68" s="24">
        <f>ROUND(설정!$C$9*설정!$D$9^$A68,0)</f>
        <v>1176320859</v>
      </c>
      <c r="G68" s="25">
        <f>설정!$C$12+설정!$E$5*A68</f>
        <v>155.8</v>
      </c>
      <c r="H68" s="26">
        <f>1+설정!$E$6*A68</f>
        <v>4.84</v>
      </c>
      <c r="I68" s="24">
        <f>설정!$C$14*A68^설정!$E$7</f>
        <v>4457.21888407616</v>
      </c>
      <c r="J68" s="26">
        <f>1+설정!$E$8*A68</f>
        <v>3.56</v>
      </c>
      <c r="K68" s="26">
        <f>1+설정!$E$9*A68</f>
        <v>7.4</v>
      </c>
      <c r="L68" s="24">
        <f>(G68^2/설정!$C$13*H68+I68)*J68</f>
        <v>58545.7121513927</v>
      </c>
    </row>
    <row r="69" spans="1:12">
      <c r="A69" s="5">
        <v>65</v>
      </c>
      <c r="B69" s="24">
        <f>ROUND(설정!$C$5*설정!$D$5^$A69,0)</f>
        <v>88178</v>
      </c>
      <c r="C69" s="24">
        <f>ROUND(설정!$C$6*설정!$D$6^$A69,0)</f>
        <v>405669</v>
      </c>
      <c r="D69" s="24">
        <f>ROUND(설정!$C$7*설정!$D$7^$A69,0)</f>
        <v>3505266</v>
      </c>
      <c r="E69" s="24">
        <f>ROUND(설정!$C$8*설정!$D$8^$A69,0)</f>
        <v>79654596</v>
      </c>
      <c r="F69" s="24">
        <f>ROUND(설정!$C$9*설정!$D$9^$A69,0)</f>
        <v>1529217116</v>
      </c>
      <c r="G69" s="25">
        <f>설정!$C$12+설정!$E$5*A69</f>
        <v>158</v>
      </c>
      <c r="H69" s="26">
        <f>1+설정!$E$6*A69</f>
        <v>4.9</v>
      </c>
      <c r="I69" s="24">
        <f>설정!$C$14*A69^설정!$E$7</f>
        <v>4547.96757081943</v>
      </c>
      <c r="J69" s="26">
        <f>1+설정!$E$8*A69</f>
        <v>3.6</v>
      </c>
      <c r="K69" s="26">
        <f>1+설정!$E$9*A69</f>
        <v>7.5</v>
      </c>
      <c r="L69" s="24">
        <f>(G69^2/설정!$C$13*H69+I69)*J69</f>
        <v>61307.88325495</v>
      </c>
    </row>
    <row r="70" spans="1:12">
      <c r="A70" s="5">
        <v>66</v>
      </c>
      <c r="B70" s="24">
        <f>ROUND(설정!$C$5*설정!$D$5^$A70,0)</f>
        <v>101405</v>
      </c>
      <c r="C70" s="24">
        <f>ROUND(설정!$C$6*설정!$D$6^$A70,0)</f>
        <v>474633</v>
      </c>
      <c r="D70" s="24">
        <f>ROUND(설정!$C$7*설정!$D$7^$A70,0)</f>
        <v>4206319</v>
      </c>
      <c r="E70" s="24">
        <f>ROUND(설정!$C$8*설정!$D$8^$A70,0)</f>
        <v>99568244</v>
      </c>
      <c r="F70" s="24">
        <f>ROUND(설정!$C$9*설정!$D$9^$A70,0)</f>
        <v>1987982251</v>
      </c>
      <c r="G70" s="25">
        <f>설정!$C$12+설정!$E$5*A70</f>
        <v>160.2</v>
      </c>
      <c r="H70" s="26">
        <f>1+설정!$E$6*A70</f>
        <v>4.96</v>
      </c>
      <c r="I70" s="24">
        <f>설정!$C$14*A70^설정!$E$7</f>
        <v>4639.13607980823</v>
      </c>
      <c r="J70" s="26">
        <f>1+설정!$E$8*A70</f>
        <v>3.64</v>
      </c>
      <c r="K70" s="26">
        <f>1+설정!$E$9*A70</f>
        <v>7.6</v>
      </c>
      <c r="L70" s="24">
        <f>(G70^2/설정!$C$13*H70+I70)*J70</f>
        <v>64166.9495933591</v>
      </c>
    </row>
    <row r="71" spans="1:12">
      <c r="A71" s="5">
        <v>67</v>
      </c>
      <c r="B71" s="24">
        <f>ROUND(설정!$C$5*설정!$D$5^$A71,0)</f>
        <v>116615</v>
      </c>
      <c r="C71" s="24">
        <f>ROUND(설정!$C$6*설정!$D$6^$A71,0)</f>
        <v>555321</v>
      </c>
      <c r="D71" s="24">
        <f>ROUND(설정!$C$7*설정!$D$7^$A71,0)</f>
        <v>5047583</v>
      </c>
      <c r="E71" s="24">
        <f>ROUND(설정!$C$8*설정!$D$8^$A71,0)</f>
        <v>124460306</v>
      </c>
      <c r="F71" s="24">
        <f>ROUND(설정!$C$9*설정!$D$9^$A71,0)</f>
        <v>2584376926</v>
      </c>
      <c r="G71" s="25">
        <f>설정!$C$12+설정!$E$5*A71</f>
        <v>162.4</v>
      </c>
      <c r="H71" s="26">
        <f>1+설정!$E$6*A71</f>
        <v>5.02</v>
      </c>
      <c r="I71" s="24">
        <f>설정!$C$14*A71^설정!$E$7</f>
        <v>4730.71994790241</v>
      </c>
      <c r="J71" s="26">
        <f>1+설정!$E$8*A71</f>
        <v>3.68</v>
      </c>
      <c r="K71" s="26">
        <f>1+설정!$E$9*A71</f>
        <v>7.7</v>
      </c>
      <c r="L71" s="24">
        <f>(G71^2/설정!$C$13*H71+I71)*J71</f>
        <v>67125.2017282809</v>
      </c>
    </row>
    <row r="72" spans="1:12">
      <c r="A72" s="5">
        <v>68</v>
      </c>
      <c r="B72" s="24">
        <f>ROUND(설정!$C$5*설정!$D$5^$A72,0)</f>
        <v>134108</v>
      </c>
      <c r="C72" s="24">
        <f>ROUND(설정!$C$6*설정!$D$6^$A72,0)</f>
        <v>649725</v>
      </c>
      <c r="D72" s="24">
        <f>ROUND(설정!$C$7*설정!$D$7^$A72,0)</f>
        <v>6057100</v>
      </c>
      <c r="E72" s="24">
        <f>ROUND(설정!$C$8*설정!$D$8^$A72,0)</f>
        <v>155575382</v>
      </c>
      <c r="F72" s="24">
        <f>ROUND(설정!$C$9*설정!$D$9^$A72,0)</f>
        <v>3359690004</v>
      </c>
      <c r="G72" s="25">
        <f>설정!$C$12+설정!$E$5*A72</f>
        <v>164.6</v>
      </c>
      <c r="H72" s="26">
        <f>1+설정!$E$6*A72</f>
        <v>5.08</v>
      </c>
      <c r="I72" s="24">
        <f>설정!$C$14*A72^설정!$E$7</f>
        <v>4822.71482547316</v>
      </c>
      <c r="J72" s="26">
        <f>1+설정!$E$8*A72</f>
        <v>3.72</v>
      </c>
      <c r="K72" s="26">
        <f>1+설정!$E$9*A72</f>
        <v>7.8</v>
      </c>
      <c r="L72" s="24">
        <f>(G72^2/설정!$C$13*H72+I72)*J72</f>
        <v>70184.9583768826</v>
      </c>
    </row>
    <row r="73" spans="1:12">
      <c r="A73" s="5">
        <v>69</v>
      </c>
      <c r="B73" s="24">
        <f>ROUND(설정!$C$5*설정!$D$5^$A73,0)</f>
        <v>154224</v>
      </c>
      <c r="C73" s="24">
        <f>ROUND(설정!$C$6*설정!$D$6^$A73,0)</f>
        <v>760179</v>
      </c>
      <c r="D73" s="24">
        <f>ROUND(설정!$C$7*설정!$D$7^$A73,0)</f>
        <v>7268520</v>
      </c>
      <c r="E73" s="24">
        <f>ROUND(설정!$C$8*설정!$D$8^$A73,0)</f>
        <v>194469227</v>
      </c>
      <c r="F73" s="24">
        <f>ROUND(설정!$C$9*설정!$D$9^$A73,0)</f>
        <v>4367597005</v>
      </c>
      <c r="G73" s="25">
        <f>설정!$C$12+설정!$E$5*A73</f>
        <v>166.8</v>
      </c>
      <c r="H73" s="26">
        <f>1+설정!$E$6*A73</f>
        <v>5.14</v>
      </c>
      <c r="I73" s="24">
        <f>설정!$C$14*A73^설정!$E$7</f>
        <v>4915.11647188514</v>
      </c>
      <c r="J73" s="26">
        <f>1+설정!$E$8*A73</f>
        <v>3.76</v>
      </c>
      <c r="K73" s="26">
        <f>1+설정!$E$9*A73</f>
        <v>7.9</v>
      </c>
      <c r="L73" s="24">
        <f>(G73^2/설정!$C$13*H73+I73)*J73</f>
        <v>73348.5664175534</v>
      </c>
    </row>
    <row r="74" spans="1:12">
      <c r="A74" s="5">
        <v>70</v>
      </c>
      <c r="B74" s="24">
        <f>ROUND(설정!$C$5*설정!$D$5^$A74,0)</f>
        <v>177357</v>
      </c>
      <c r="C74" s="24">
        <f>ROUND(설정!$C$6*설정!$D$6^$A74,0)</f>
        <v>889409</v>
      </c>
      <c r="D74" s="24">
        <f>ROUND(설정!$C$7*설정!$D$7^$A74,0)</f>
        <v>8722224</v>
      </c>
      <c r="E74" s="24">
        <f>ROUND(설정!$C$8*설정!$D$8^$A74,0)</f>
        <v>243086534</v>
      </c>
      <c r="F74" s="24">
        <f>ROUND(설정!$C$9*설정!$D$9^$A74,0)</f>
        <v>5677876107</v>
      </c>
      <c r="G74" s="25">
        <f>설정!$C$12+설정!$E$5*A74</f>
        <v>169</v>
      </c>
      <c r="H74" s="26">
        <f>1+설정!$E$6*A74</f>
        <v>5.2</v>
      </c>
      <c r="I74" s="24">
        <f>설정!$C$14*A74^설정!$E$7</f>
        <v>5007.92075122166</v>
      </c>
      <c r="J74" s="26">
        <f>1+설정!$E$8*A74</f>
        <v>3.8</v>
      </c>
      <c r="K74" s="26">
        <f>1+설정!$E$9*A74</f>
        <v>8</v>
      </c>
      <c r="L74" s="24">
        <f>(G74^2/설정!$C$13*H74+I74)*J74</f>
        <v>76618.4008954586</v>
      </c>
    </row>
    <row r="75" spans="1:12">
      <c r="A75" s="5">
        <v>71</v>
      </c>
      <c r="B75" s="24">
        <f>ROUND(설정!$C$5*설정!$D$5^$A75,0)</f>
        <v>203961</v>
      </c>
      <c r="C75" s="24">
        <f>ROUND(설정!$C$6*설정!$D$6^$A75,0)</f>
        <v>1040609</v>
      </c>
      <c r="D75" s="24">
        <f>ROUND(설정!$C$7*설정!$D$7^$A75,0)</f>
        <v>10466669</v>
      </c>
      <c r="E75" s="24">
        <f>ROUND(설정!$C$8*설정!$D$8^$A75,0)</f>
        <v>303858168</v>
      </c>
      <c r="F75" s="24">
        <f>ROUND(설정!$C$9*설정!$D$9^$A75,0)</f>
        <v>7381238939</v>
      </c>
      <c r="G75" s="25">
        <f>설정!$C$12+설정!$E$5*A75</f>
        <v>171.2</v>
      </c>
      <c r="H75" s="26">
        <f>1+설정!$E$6*A75</f>
        <v>5.26</v>
      </c>
      <c r="I75" s="24">
        <f>설정!$C$14*A75^설정!$E$7</f>
        <v>5101.12362823624</v>
      </c>
      <c r="J75" s="26">
        <f>1+설정!$E$8*A75</f>
        <v>3.84</v>
      </c>
      <c r="K75" s="26">
        <f>1+설정!$E$9*A75</f>
        <v>8.1</v>
      </c>
      <c r="L75" s="24">
        <f>(G75^2/설정!$C$13*H75+I75)*J75</f>
        <v>79996.8650279374</v>
      </c>
    </row>
    <row r="76" spans="1:12">
      <c r="A76" s="5">
        <v>72</v>
      </c>
      <c r="B76" s="24">
        <f>ROUND(설정!$C$5*설정!$D$5^$A76,0)</f>
        <v>234555</v>
      </c>
      <c r="C76" s="24">
        <f>ROUND(설정!$C$6*설정!$D$6^$A76,0)</f>
        <v>1217512</v>
      </c>
      <c r="D76" s="24">
        <f>ROUND(설정!$C$7*설정!$D$7^$A76,0)</f>
        <v>12560002</v>
      </c>
      <c r="E76" s="24">
        <f>ROUND(설정!$C$8*설정!$D$8^$A76,0)</f>
        <v>379822710</v>
      </c>
      <c r="F76" s="24">
        <f>ROUND(설정!$C$9*설정!$D$9^$A76,0)</f>
        <v>9595610621</v>
      </c>
      <c r="G76" s="25">
        <f>설정!$C$12+설정!$E$5*A76</f>
        <v>173.4</v>
      </c>
      <c r="H76" s="26">
        <f>1+설정!$E$6*A76</f>
        <v>5.32</v>
      </c>
      <c r="I76" s="24">
        <f>설정!$C$14*A76^설정!$E$7</f>
        <v>5194.72116451563</v>
      </c>
      <c r="J76" s="26">
        <f>1+설정!$E$8*A76</f>
        <v>3.88</v>
      </c>
      <c r="K76" s="26">
        <f>1+설정!$E$9*A76</f>
        <v>8.2</v>
      </c>
      <c r="L76" s="24">
        <f>(G76^2/설정!$C$13*H76+I76)*J76</f>
        <v>83486.3902097492</v>
      </c>
    </row>
    <row r="77" spans="1:12">
      <c r="A77" s="5">
        <v>73</v>
      </c>
      <c r="B77" s="24">
        <f>ROUND(설정!$C$5*설정!$D$5^$A77,0)</f>
        <v>269738</v>
      </c>
      <c r="C77" s="24">
        <f>ROUND(설정!$C$6*설정!$D$6^$A77,0)</f>
        <v>1424489</v>
      </c>
      <c r="D77" s="24">
        <f>ROUND(설정!$C$7*설정!$D$7^$A77,0)</f>
        <v>15072003</v>
      </c>
      <c r="E77" s="24">
        <f>ROUND(설정!$C$8*설정!$D$8^$A77,0)</f>
        <v>474778387</v>
      </c>
      <c r="F77" s="24">
        <f>ROUND(설정!$C$9*설정!$D$9^$A77,0)</f>
        <v>12474293807</v>
      </c>
      <c r="G77" s="25">
        <f>설정!$C$12+설정!$E$5*A77</f>
        <v>175.6</v>
      </c>
      <c r="H77" s="26">
        <f>1+설정!$E$6*A77</f>
        <v>5.38</v>
      </c>
      <c r="I77" s="24">
        <f>설정!$C$14*A77^설정!$E$7</f>
        <v>5288.70951484046</v>
      </c>
      <c r="J77" s="26">
        <f>1+설정!$E$8*A77</f>
        <v>3.92</v>
      </c>
      <c r="K77" s="26">
        <f>1+설정!$E$9*A77</f>
        <v>8.3</v>
      </c>
      <c r="L77" s="24">
        <f>(G77^2/설정!$C$13*H77+I77)*J77</f>
        <v>87089.4360181746</v>
      </c>
    </row>
    <row r="78" spans="1:12">
      <c r="A78" s="5">
        <v>74</v>
      </c>
      <c r="B78" s="24">
        <f>ROUND(설정!$C$5*설정!$D$5^$A78,0)</f>
        <v>310199</v>
      </c>
      <c r="C78" s="24">
        <f>ROUND(설정!$C$6*설정!$D$6^$A78,0)</f>
        <v>1666652</v>
      </c>
      <c r="D78" s="24">
        <f>ROUND(설정!$C$7*설정!$D$7^$A78,0)</f>
        <v>18086404</v>
      </c>
      <c r="E78" s="24">
        <f>ROUND(설정!$C$8*설정!$D$8^$A78,0)</f>
        <v>593472984</v>
      </c>
      <c r="F78" s="24">
        <f>ROUND(설정!$C$9*설정!$D$9^$A78,0)</f>
        <v>16216581949</v>
      </c>
      <c r="G78" s="25">
        <f>설정!$C$12+설정!$E$5*A78</f>
        <v>177.8</v>
      </c>
      <c r="H78" s="26">
        <f>1+설정!$E$6*A78</f>
        <v>5.44</v>
      </c>
      <c r="I78" s="24">
        <f>설정!$C$14*A78^설정!$E$7</f>
        <v>5383.08492373084</v>
      </c>
      <c r="J78" s="26">
        <f>1+설정!$E$8*A78</f>
        <v>3.96</v>
      </c>
      <c r="K78" s="26">
        <f>1+설정!$E$9*A78</f>
        <v>8.4</v>
      </c>
      <c r="L78" s="24">
        <f>(G78^2/설정!$C$13*H78+I78)*J78</f>
        <v>90808.4902179741</v>
      </c>
    </row>
    <row r="79" spans="1:12">
      <c r="A79" s="5">
        <v>75</v>
      </c>
      <c r="B79" s="24">
        <f>ROUND(설정!$C$5*설정!$D$5^$A79,0)</f>
        <v>356729</v>
      </c>
      <c r="C79" s="24">
        <f>ROUND(설정!$C$6*설정!$D$6^$A79,0)</f>
        <v>1949983</v>
      </c>
      <c r="D79" s="24">
        <f>ROUND(설정!$C$7*설정!$D$7^$A79,0)</f>
        <v>21703684</v>
      </c>
      <c r="E79" s="24">
        <f>ROUND(설정!$C$8*설정!$D$8^$A79,0)</f>
        <v>741841230</v>
      </c>
      <c r="F79" s="24">
        <f>ROUND(설정!$C$9*설정!$D$9^$A79,0)</f>
        <v>21081556534</v>
      </c>
      <c r="G79" s="25">
        <f>설정!$C$12+설정!$E$5*A79</f>
        <v>180</v>
      </c>
      <c r="H79" s="26">
        <f>1+설정!$E$6*A79</f>
        <v>5.5</v>
      </c>
      <c r="I79" s="24">
        <f>설정!$C$14*A79^설정!$E$7</f>
        <v>5477.84372216493</v>
      </c>
      <c r="J79" s="26">
        <f>1+설정!$E$8*A79</f>
        <v>4</v>
      </c>
      <c r="K79" s="26">
        <f>1+설정!$E$9*A79</f>
        <v>8.5</v>
      </c>
      <c r="L79" s="24">
        <f>(G79^2/설정!$C$13*H79+I79)*J79</f>
        <v>94646.0687662108</v>
      </c>
    </row>
    <row r="80" spans="1:12">
      <c r="A80" s="5">
        <v>76</v>
      </c>
      <c r="B80" s="24">
        <f>ROUND(설정!$C$5*설정!$D$5^$A80,0)</f>
        <v>410238</v>
      </c>
      <c r="C80" s="24">
        <f>ROUND(설정!$C$6*설정!$D$6^$A80,0)</f>
        <v>2281480</v>
      </c>
      <c r="D80" s="24">
        <f>ROUND(설정!$C$7*설정!$D$7^$A80,0)</f>
        <v>26044421</v>
      </c>
      <c r="E80" s="24">
        <f>ROUND(설정!$C$8*설정!$D$8^$A80,0)</f>
        <v>927301538</v>
      </c>
      <c r="F80" s="24">
        <f>ROUND(설정!$C$9*설정!$D$9^$A80,0)</f>
        <v>27406023495</v>
      </c>
      <c r="G80" s="25">
        <f>설정!$C$12+설정!$E$5*A80</f>
        <v>182.2</v>
      </c>
      <c r="H80" s="26">
        <f>1+설정!$E$6*A80</f>
        <v>5.56</v>
      </c>
      <c r="I80" s="24">
        <f>설정!$C$14*A80^설정!$E$7</f>
        <v>5572.98232445984</v>
      </c>
      <c r="J80" s="26">
        <f>1+설정!$E$8*A80</f>
        <v>4.04</v>
      </c>
      <c r="K80" s="26">
        <f>1+설정!$E$9*A80</f>
        <v>8.6</v>
      </c>
      <c r="L80" s="24">
        <f>(G80^2/설정!$C$13*H80+I80)*J80</f>
        <v>98604.7158169402</v>
      </c>
    </row>
    <row r="81" spans="1:12">
      <c r="A81" s="5">
        <v>77</v>
      </c>
      <c r="B81" s="24">
        <f>ROUND(설정!$C$5*설정!$D$5^$A81,0)</f>
        <v>471774</v>
      </c>
      <c r="C81" s="24">
        <f>ROUND(설정!$C$6*설정!$D$6^$A81,0)</f>
        <v>2669332</v>
      </c>
      <c r="D81" s="24">
        <f>ROUND(설정!$C$7*설정!$D$7^$A81,0)</f>
        <v>31253305</v>
      </c>
      <c r="E81" s="24">
        <f>ROUND(설정!$C$8*설정!$D$8^$A81,0)</f>
        <v>1159126922</v>
      </c>
      <c r="F81" s="24">
        <f>ROUND(설정!$C$9*설정!$D$9^$A81,0)</f>
        <v>35627830543</v>
      </c>
      <c r="G81" s="25">
        <f>설정!$C$12+설정!$E$5*A81</f>
        <v>184.4</v>
      </c>
      <c r="H81" s="26">
        <f>1+설정!$E$6*A81</f>
        <v>5.62</v>
      </c>
      <c r="I81" s="24">
        <f>설정!$C$14*A81^설정!$E$7</f>
        <v>5668.49722530466</v>
      </c>
      <c r="J81" s="26">
        <f>1+설정!$E$8*A81</f>
        <v>4.08</v>
      </c>
      <c r="K81" s="26">
        <f>1+설정!$E$9*A81</f>
        <v>8.7</v>
      </c>
      <c r="L81" s="24">
        <f>(G81^2/설정!$C$13*H81+I81)*J81</f>
        <v>102687.003725774</v>
      </c>
    </row>
    <row r="82" spans="1:12">
      <c r="A82" s="5">
        <v>78</v>
      </c>
      <c r="B82" s="24">
        <f>ROUND(설정!$C$5*설정!$D$5^$A82,0)</f>
        <v>542540</v>
      </c>
      <c r="C82" s="24">
        <f>ROUND(설정!$C$6*설정!$D$6^$A82,0)</f>
        <v>3123119</v>
      </c>
      <c r="D82" s="24">
        <f>ROUND(설정!$C$7*설정!$D$7^$A82,0)</f>
        <v>37503966</v>
      </c>
      <c r="E82" s="24">
        <f>ROUND(설정!$C$8*설정!$D$8^$A82,0)</f>
        <v>1448908653</v>
      </c>
      <c r="F82" s="24">
        <f>ROUND(설정!$C$9*설정!$D$9^$A82,0)</f>
        <v>46316179706</v>
      </c>
      <c r="G82" s="25">
        <f>설정!$C$12+설정!$E$5*A82</f>
        <v>186.6</v>
      </c>
      <c r="H82" s="26">
        <f>1+설정!$E$6*A82</f>
        <v>5.68</v>
      </c>
      <c r="I82" s="24">
        <f>설정!$C$14*A82^설정!$E$7</f>
        <v>5764.38499693641</v>
      </c>
      <c r="J82" s="26">
        <f>1+설정!$E$8*A82</f>
        <v>4.12</v>
      </c>
      <c r="K82" s="26">
        <f>1+설정!$E$9*A82</f>
        <v>8.8</v>
      </c>
      <c r="L82" s="24">
        <f>(G82^2/설정!$C$13*H82+I82)*J82</f>
        <v>106895.533054317</v>
      </c>
    </row>
    <row r="83" spans="1:12">
      <c r="A83" s="5">
        <v>79</v>
      </c>
      <c r="B83" s="24">
        <f>ROUND(설정!$C$5*설정!$D$5^$A83,0)</f>
        <v>623921</v>
      </c>
      <c r="C83" s="24">
        <f>ROUND(설정!$C$6*설정!$D$6^$A83,0)</f>
        <v>3654049</v>
      </c>
      <c r="D83" s="24">
        <f>ROUND(설정!$C$7*설정!$D$7^$A83,0)</f>
        <v>45004760</v>
      </c>
      <c r="E83" s="24">
        <f>ROUND(설정!$C$8*설정!$D$8^$A83,0)</f>
        <v>1811135816</v>
      </c>
      <c r="F83" s="24">
        <f>ROUND(설정!$C$9*설정!$D$9^$A83,0)</f>
        <v>60211033618</v>
      </c>
      <c r="G83" s="25">
        <f>설정!$C$12+설정!$E$5*A83</f>
        <v>188.8</v>
      </c>
      <c r="H83" s="26">
        <f>1+설정!$E$6*A83</f>
        <v>5.74</v>
      </c>
      <c r="I83" s="24">
        <f>설정!$C$14*A83^설정!$E$7</f>
        <v>5860.64228645015</v>
      </c>
      <c r="J83" s="26">
        <f>1+설정!$E$8*A83</f>
        <v>4.16</v>
      </c>
      <c r="K83" s="26">
        <f>1+설정!$E$9*A83</f>
        <v>8.9</v>
      </c>
      <c r="L83" s="24">
        <f>(G83^2/설정!$C$13*H83+I83)*J83</f>
        <v>111232.93257449</v>
      </c>
    </row>
    <row r="84" spans="1:12">
      <c r="A84" s="5">
        <v>80</v>
      </c>
      <c r="B84" s="24">
        <f>ROUND(설정!$C$5*설정!$D$5^$A84,0)</f>
        <v>717509</v>
      </c>
      <c r="C84" s="24">
        <f>ROUND(설정!$C$6*설정!$D$6^$A84,0)</f>
        <v>4275237</v>
      </c>
      <c r="D84" s="24">
        <f>ROUND(설정!$C$7*설정!$D$7^$A84,0)</f>
        <v>54005712</v>
      </c>
      <c r="E84" s="24">
        <f>ROUND(설정!$C$8*설정!$D$8^$A84,0)</f>
        <v>2263919770</v>
      </c>
      <c r="F84" s="24">
        <f>ROUND(설정!$C$9*설정!$D$9^$A84,0)</f>
        <v>78274343703</v>
      </c>
      <c r="G84" s="25">
        <f>설정!$C$12+설정!$E$5*A84</f>
        <v>191</v>
      </c>
      <c r="H84" s="26">
        <f>1+설정!$E$6*A84</f>
        <v>5.8</v>
      </c>
      <c r="I84" s="24">
        <f>설정!$C$14*A84^설정!$E$7</f>
        <v>5957.26581323542</v>
      </c>
      <c r="J84" s="26">
        <f>1+설정!$E$8*A84</f>
        <v>4.2</v>
      </c>
      <c r="K84" s="26">
        <f>1+설정!$E$9*A84</f>
        <v>9</v>
      </c>
      <c r="L84" s="24">
        <f>(G84^2/설정!$C$13*H84+I84)*J84</f>
        <v>115701.859272732</v>
      </c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304"/>
  <sheetViews>
    <sheetView workbookViewId="0">
      <pane xSplit="1" ySplit="4" topLeftCell="B5" activePane="bottomRight" state="frozen"/>
      <selection/>
      <selection pane="topRight"/>
      <selection pane="bottomLeft"/>
      <selection pane="bottomRight" activeCell="A1" sqref="A1"/>
    </sheetView>
  </sheetViews>
  <sheetFormatPr defaultColWidth="8.67592592592593" defaultRowHeight="14.4"/>
  <cols>
    <col min="1" max="1" width="6" customWidth="1"/>
    <col min="2" max="2" width="11" customWidth="1"/>
    <col min="3" max="4" width="13" customWidth="1"/>
    <col min="5" max="5" width="14" customWidth="1"/>
    <col min="6" max="6" width="13" customWidth="1"/>
    <col min="7" max="7" width="14" customWidth="1"/>
    <col min="8" max="8" width="13" customWidth="1"/>
    <col min="9" max="12" width="8" customWidth="1"/>
    <col min="13" max="13" width="9" customWidth="1"/>
    <col min="15" max="18" width="14" customWidth="1"/>
  </cols>
  <sheetData>
    <row r="1" ht="17.4" spans="1:18">
      <c r="A1" s="1" t="s">
        <v>190</v>
      </c>
      <c r="B1" s="15"/>
      <c r="C1" s="15"/>
      <c r="D1" s="15"/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</row>
    <row r="2" spans="1:18">
      <c r="A2" s="21" t="s">
        <v>191</v>
      </c>
      <c r="B2" s="15"/>
      <c r="C2" s="15"/>
      <c r="D2" s="15"/>
      <c r="E2" s="15"/>
      <c r="F2" s="15"/>
      <c r="G2" s="15"/>
      <c r="H2" s="15"/>
      <c r="I2" s="15"/>
      <c r="J2" s="15"/>
      <c r="K2" s="15"/>
      <c r="L2" s="15"/>
      <c r="M2" s="15"/>
      <c r="N2" s="15"/>
      <c r="O2" s="15"/>
      <c r="P2" s="15"/>
      <c r="Q2" s="15"/>
      <c r="R2" s="15"/>
    </row>
    <row r="3" spans="1:18">
      <c r="A3" s="15"/>
      <c r="B3" s="15"/>
      <c r="C3" s="15"/>
      <c r="D3" s="15"/>
      <c r="E3" s="15"/>
      <c r="F3" s="15"/>
      <c r="G3" s="15"/>
      <c r="H3" s="15"/>
      <c r="I3" s="15"/>
      <c r="J3" s="15"/>
      <c r="K3" s="15"/>
      <c r="L3" s="15"/>
      <c r="M3" s="15"/>
      <c r="N3" s="15"/>
      <c r="O3" s="15"/>
      <c r="P3" s="15"/>
      <c r="Q3" s="15"/>
      <c r="R3" s="15"/>
    </row>
    <row r="4" ht="28.8" spans="1:18">
      <c r="A4" s="3" t="s">
        <v>192</v>
      </c>
      <c r="B4" s="3" t="s">
        <v>193</v>
      </c>
      <c r="C4" s="3" t="s">
        <v>194</v>
      </c>
      <c r="D4" s="3" t="s">
        <v>195</v>
      </c>
      <c r="E4" s="3" t="s">
        <v>196</v>
      </c>
      <c r="F4" s="3" t="s">
        <v>197</v>
      </c>
      <c r="G4" s="3" t="s">
        <v>198</v>
      </c>
      <c r="H4" s="3" t="s">
        <v>199</v>
      </c>
      <c r="I4" s="3" t="s">
        <v>9</v>
      </c>
      <c r="J4" s="3" t="s">
        <v>13</v>
      </c>
      <c r="K4" s="3" t="s">
        <v>17</v>
      </c>
      <c r="L4" s="3" t="s">
        <v>21</v>
      </c>
      <c r="M4" s="3" t="s">
        <v>25</v>
      </c>
      <c r="N4" s="15"/>
      <c r="O4" s="15"/>
      <c r="P4" s="15"/>
      <c r="Q4" s="15"/>
      <c r="R4" s="15"/>
    </row>
    <row r="5" spans="1:18">
      <c r="A5" s="5">
        <v>1</v>
      </c>
      <c r="B5" s="5">
        <f>ROUND(A5*설정!$C$16/60,1)</f>
        <v>0.7</v>
      </c>
      <c r="C5" s="8">
        <v>23</v>
      </c>
      <c r="D5" s="8">
        <v>23</v>
      </c>
      <c r="E5" s="8">
        <v>23</v>
      </c>
      <c r="F5" s="8">
        <v>11</v>
      </c>
      <c r="G5" s="8">
        <v>23</v>
      </c>
      <c r="H5" s="22">
        <v>0</v>
      </c>
      <c r="I5" s="5">
        <v>0</v>
      </c>
      <c r="J5" s="5">
        <v>0</v>
      </c>
      <c r="K5" s="5">
        <v>0</v>
      </c>
      <c r="L5" s="5">
        <v>0</v>
      </c>
      <c r="M5" s="5">
        <v>0</v>
      </c>
      <c r="N5" s="15"/>
      <c r="O5" s="15"/>
      <c r="P5" s="15"/>
      <c r="Q5" s="15"/>
      <c r="R5" s="15"/>
    </row>
    <row r="6" spans="1:18">
      <c r="A6" s="5">
        <v>2</v>
      </c>
      <c r="B6" s="5">
        <f>ROUND(A6*설정!$C$16/60,1)</f>
        <v>1.3</v>
      </c>
      <c r="C6" s="8">
        <v>23</v>
      </c>
      <c r="D6" s="8">
        <v>23</v>
      </c>
      <c r="E6" s="8">
        <v>23</v>
      </c>
      <c r="F6" s="8">
        <v>11</v>
      </c>
      <c r="G6" s="8">
        <v>23</v>
      </c>
      <c r="H6" s="22">
        <f t="shared" ref="H6:H69" si="0">IF(C5&gt;0,C6/C5-1,0)</f>
        <v>0</v>
      </c>
      <c r="I6" s="5">
        <v>0</v>
      </c>
      <c r="J6" s="5">
        <v>0</v>
      </c>
      <c r="K6" s="5">
        <v>0</v>
      </c>
      <c r="L6" s="5">
        <v>0</v>
      </c>
      <c r="M6" s="5">
        <v>0</v>
      </c>
      <c r="N6" s="15"/>
      <c r="O6" s="15"/>
      <c r="P6" s="15"/>
      <c r="Q6" s="15"/>
      <c r="R6" s="15"/>
    </row>
    <row r="7" spans="1:18">
      <c r="A7" s="5">
        <v>3</v>
      </c>
      <c r="B7" s="5">
        <f>ROUND(A7*설정!$C$16/60,1)</f>
        <v>2</v>
      </c>
      <c r="C7" s="8">
        <v>23</v>
      </c>
      <c r="D7" s="8">
        <v>43</v>
      </c>
      <c r="E7" s="8">
        <v>43</v>
      </c>
      <c r="F7" s="8">
        <v>11</v>
      </c>
      <c r="G7" s="8">
        <v>43</v>
      </c>
      <c r="H7" s="22">
        <f t="shared" si="0"/>
        <v>0</v>
      </c>
      <c r="I7" s="5">
        <v>0</v>
      </c>
      <c r="J7" s="5">
        <v>0</v>
      </c>
      <c r="K7" s="5">
        <v>1</v>
      </c>
      <c r="L7" s="5">
        <v>0</v>
      </c>
      <c r="M7" s="5">
        <v>0</v>
      </c>
      <c r="N7" s="15"/>
      <c r="O7" s="15"/>
      <c r="P7" s="15"/>
      <c r="Q7" s="15"/>
      <c r="R7" s="15"/>
    </row>
    <row r="8" spans="1:18">
      <c r="A8" s="5">
        <v>4</v>
      </c>
      <c r="B8" s="5">
        <f>ROUND(A8*설정!$C$16/60,1)</f>
        <v>2.7</v>
      </c>
      <c r="C8" s="8">
        <v>43</v>
      </c>
      <c r="D8" s="8">
        <v>72</v>
      </c>
      <c r="E8" s="8">
        <v>72</v>
      </c>
      <c r="F8" s="8">
        <v>21</v>
      </c>
      <c r="G8" s="8">
        <v>72</v>
      </c>
      <c r="H8" s="22">
        <f t="shared" si="0"/>
        <v>0.869565217391304</v>
      </c>
      <c r="I8" s="5">
        <v>0</v>
      </c>
      <c r="J8" s="5">
        <v>0</v>
      </c>
      <c r="K8" s="5">
        <v>2</v>
      </c>
      <c r="L8" s="5">
        <v>0</v>
      </c>
      <c r="M8" s="5">
        <v>0</v>
      </c>
      <c r="N8" s="15"/>
      <c r="O8" s="15"/>
      <c r="P8" s="15"/>
      <c r="Q8" s="15"/>
      <c r="R8" s="15"/>
    </row>
    <row r="9" spans="1:18">
      <c r="A9" s="5">
        <v>5</v>
      </c>
      <c r="B9" s="5">
        <f>ROUND(A9*설정!$C$16/60,1)</f>
        <v>3.3</v>
      </c>
      <c r="C9" s="8">
        <v>72</v>
      </c>
      <c r="D9" s="8">
        <v>106</v>
      </c>
      <c r="E9" s="8">
        <v>144</v>
      </c>
      <c r="F9" s="8">
        <v>36</v>
      </c>
      <c r="G9" s="8">
        <v>144</v>
      </c>
      <c r="H9" s="22">
        <f t="shared" si="0"/>
        <v>0.674418604651163</v>
      </c>
      <c r="I9" s="5">
        <v>0</v>
      </c>
      <c r="J9" s="5">
        <v>0</v>
      </c>
      <c r="K9" s="5">
        <v>3</v>
      </c>
      <c r="L9" s="5">
        <v>0</v>
      </c>
      <c r="M9" s="5">
        <v>0</v>
      </c>
      <c r="N9" s="15"/>
      <c r="O9" s="15"/>
      <c r="P9" s="15"/>
      <c r="Q9" s="15"/>
      <c r="R9" s="15"/>
    </row>
    <row r="10" spans="1:18">
      <c r="A10" s="5">
        <v>6</v>
      </c>
      <c r="B10" s="5">
        <f>ROUND(A10*설정!$C$16/60,1)</f>
        <v>4</v>
      </c>
      <c r="C10" s="8">
        <v>106</v>
      </c>
      <c r="D10" s="8">
        <v>144</v>
      </c>
      <c r="E10" s="8">
        <v>263</v>
      </c>
      <c r="F10" s="8">
        <v>53</v>
      </c>
      <c r="G10" s="8">
        <v>263</v>
      </c>
      <c r="H10" s="22">
        <f t="shared" si="0"/>
        <v>0.472222222222222</v>
      </c>
      <c r="I10" s="5">
        <v>0</v>
      </c>
      <c r="J10" s="5">
        <v>0</v>
      </c>
      <c r="K10" s="5">
        <v>4</v>
      </c>
      <c r="L10" s="5">
        <v>0</v>
      </c>
      <c r="M10" s="5">
        <v>0</v>
      </c>
      <c r="N10" s="15"/>
      <c r="O10" s="15"/>
      <c r="P10" s="15"/>
      <c r="Q10" s="15"/>
      <c r="R10" s="15"/>
    </row>
    <row r="11" spans="1:18">
      <c r="A11" s="5">
        <v>7</v>
      </c>
      <c r="B11" s="5">
        <f>ROUND(A11*설정!$C$16/60,1)</f>
        <v>4.7</v>
      </c>
      <c r="C11" s="8">
        <v>144</v>
      </c>
      <c r="D11" s="8">
        <v>236</v>
      </c>
      <c r="E11" s="8">
        <v>345</v>
      </c>
      <c r="F11" s="8">
        <v>72</v>
      </c>
      <c r="G11" s="8">
        <v>380</v>
      </c>
      <c r="H11" s="22">
        <f t="shared" si="0"/>
        <v>0.358490566037736</v>
      </c>
      <c r="I11" s="5">
        <v>1</v>
      </c>
      <c r="J11" s="5">
        <v>0</v>
      </c>
      <c r="K11" s="5">
        <v>5</v>
      </c>
      <c r="L11" s="5">
        <v>0</v>
      </c>
      <c r="M11" s="5">
        <v>0</v>
      </c>
      <c r="N11" s="15"/>
      <c r="O11" s="15"/>
      <c r="P11" s="15"/>
      <c r="Q11" s="15"/>
      <c r="R11" s="15"/>
    </row>
    <row r="12" spans="1:18">
      <c r="A12" s="5">
        <v>8</v>
      </c>
      <c r="B12" s="5">
        <f>ROUND(A12*설정!$C$16/60,1)</f>
        <v>5.3</v>
      </c>
      <c r="C12" s="8">
        <v>192</v>
      </c>
      <c r="D12" s="8">
        <v>332</v>
      </c>
      <c r="E12" s="8">
        <v>493</v>
      </c>
      <c r="F12" s="8">
        <v>96</v>
      </c>
      <c r="G12" s="8">
        <v>592</v>
      </c>
      <c r="H12" s="22">
        <f t="shared" si="0"/>
        <v>0.333333333333333</v>
      </c>
      <c r="I12" s="5">
        <v>4</v>
      </c>
      <c r="J12" s="5">
        <v>0</v>
      </c>
      <c r="K12" s="5">
        <v>6</v>
      </c>
      <c r="L12" s="5">
        <v>0</v>
      </c>
      <c r="M12" s="5">
        <v>0</v>
      </c>
      <c r="N12" s="15"/>
      <c r="O12" s="15"/>
      <c r="P12" s="15"/>
      <c r="Q12" s="15"/>
      <c r="R12" s="15"/>
    </row>
    <row r="13" spans="1:18">
      <c r="A13" s="5">
        <v>9</v>
      </c>
      <c r="B13" s="5">
        <f>ROUND(A13*설정!$C$16/60,1)</f>
        <v>6</v>
      </c>
      <c r="C13" s="8">
        <v>263</v>
      </c>
      <c r="D13" s="8">
        <v>407</v>
      </c>
      <c r="E13" s="8">
        <v>731</v>
      </c>
      <c r="F13" s="8">
        <v>132</v>
      </c>
      <c r="G13" s="8">
        <v>951</v>
      </c>
      <c r="H13" s="22">
        <f t="shared" si="0"/>
        <v>0.369791666666667</v>
      </c>
      <c r="I13" s="5">
        <v>7</v>
      </c>
      <c r="J13" s="5">
        <v>0</v>
      </c>
      <c r="K13" s="5">
        <v>7</v>
      </c>
      <c r="L13" s="5">
        <v>0</v>
      </c>
      <c r="M13" s="5">
        <v>0</v>
      </c>
      <c r="N13" s="15"/>
      <c r="O13" s="15"/>
      <c r="P13" s="15"/>
      <c r="Q13" s="15"/>
      <c r="R13" s="15"/>
    </row>
    <row r="14" spans="1:18">
      <c r="A14" s="5">
        <v>10</v>
      </c>
      <c r="B14" s="5">
        <f>ROUND(A14*설정!$C$16/60,1)</f>
        <v>6.7</v>
      </c>
      <c r="C14" s="8">
        <v>345</v>
      </c>
      <c r="D14" s="8">
        <v>493</v>
      </c>
      <c r="E14" s="8">
        <v>1005</v>
      </c>
      <c r="F14" s="8">
        <v>173</v>
      </c>
      <c r="G14" s="8">
        <v>1507</v>
      </c>
      <c r="H14" s="22">
        <f t="shared" si="0"/>
        <v>0.311787072243346</v>
      </c>
      <c r="I14" s="5">
        <v>8</v>
      </c>
      <c r="J14" s="5">
        <v>0</v>
      </c>
      <c r="K14" s="5">
        <v>8</v>
      </c>
      <c r="L14" s="5">
        <v>0</v>
      </c>
      <c r="M14" s="5">
        <v>1</v>
      </c>
      <c r="N14" s="15"/>
      <c r="O14" s="15"/>
      <c r="P14" s="15"/>
      <c r="Q14" s="15"/>
      <c r="R14" s="15"/>
    </row>
    <row r="15" spans="1:18">
      <c r="A15" s="5">
        <v>11</v>
      </c>
      <c r="B15" s="5">
        <f>ROUND(A15*설정!$C$16/60,1)</f>
        <v>7.3</v>
      </c>
      <c r="C15" s="8">
        <v>407</v>
      </c>
      <c r="D15" s="8">
        <v>648</v>
      </c>
      <c r="E15" s="8">
        <v>1442</v>
      </c>
      <c r="F15" s="8">
        <v>224</v>
      </c>
      <c r="G15" s="8">
        <v>2308</v>
      </c>
      <c r="H15" s="22">
        <f t="shared" si="0"/>
        <v>0.179710144927536</v>
      </c>
      <c r="I15" s="5">
        <v>11</v>
      </c>
      <c r="J15" s="5">
        <v>2</v>
      </c>
      <c r="K15" s="5">
        <v>8</v>
      </c>
      <c r="L15" s="5">
        <v>0</v>
      </c>
      <c r="M15" s="5">
        <v>2</v>
      </c>
      <c r="N15" s="15"/>
      <c r="O15" s="15"/>
      <c r="P15" s="15"/>
      <c r="Q15" s="15"/>
      <c r="R15" s="15"/>
    </row>
    <row r="16" spans="1:18">
      <c r="A16" s="5">
        <v>12</v>
      </c>
      <c r="B16" s="5">
        <f>ROUND(A16*설정!$C$16/60,1)</f>
        <v>8</v>
      </c>
      <c r="C16" s="8">
        <v>474</v>
      </c>
      <c r="D16" s="8">
        <v>821</v>
      </c>
      <c r="E16" s="8">
        <v>1955</v>
      </c>
      <c r="F16" s="8">
        <v>285</v>
      </c>
      <c r="G16" s="8">
        <v>3519</v>
      </c>
      <c r="H16" s="22">
        <f t="shared" si="0"/>
        <v>0.164619164619165</v>
      </c>
      <c r="I16" s="5">
        <v>12</v>
      </c>
      <c r="J16" s="5">
        <v>3</v>
      </c>
      <c r="K16" s="5">
        <v>9</v>
      </c>
      <c r="L16" s="5">
        <v>1</v>
      </c>
      <c r="M16" s="5">
        <v>2</v>
      </c>
      <c r="N16" s="15"/>
      <c r="O16" s="15"/>
      <c r="P16" s="15"/>
      <c r="Q16" s="15"/>
      <c r="R16" s="15"/>
    </row>
    <row r="17" spans="1:18">
      <c r="A17" s="5">
        <v>13</v>
      </c>
      <c r="B17" s="5">
        <f>ROUND(A17*설정!$C$16/60,1)</f>
        <v>8.7</v>
      </c>
      <c r="C17" s="8">
        <v>577</v>
      </c>
      <c r="D17" s="8">
        <v>1046</v>
      </c>
      <c r="E17" s="8">
        <v>2690</v>
      </c>
      <c r="F17" s="8">
        <v>346</v>
      </c>
      <c r="G17" s="8">
        <v>5111</v>
      </c>
      <c r="H17" s="22">
        <f t="shared" si="0"/>
        <v>0.217299578059072</v>
      </c>
      <c r="I17" s="5">
        <v>14</v>
      </c>
      <c r="J17" s="5">
        <v>5</v>
      </c>
      <c r="K17" s="5">
        <v>9</v>
      </c>
      <c r="L17" s="5">
        <v>2</v>
      </c>
      <c r="M17" s="5">
        <v>3</v>
      </c>
      <c r="N17" s="15"/>
      <c r="O17" s="15"/>
      <c r="P17" s="15"/>
      <c r="Q17" s="15"/>
      <c r="R17" s="15"/>
    </row>
    <row r="18" spans="1:18">
      <c r="A18" s="5">
        <v>14</v>
      </c>
      <c r="B18" s="5">
        <f>ROUND(A18*설정!$C$16/60,1)</f>
        <v>9.3</v>
      </c>
      <c r="C18" s="8">
        <v>676</v>
      </c>
      <c r="D18" s="8">
        <v>1315</v>
      </c>
      <c r="E18" s="8">
        <v>3357</v>
      </c>
      <c r="F18" s="8">
        <v>440</v>
      </c>
      <c r="G18" s="8">
        <v>7050</v>
      </c>
      <c r="H18" s="22">
        <f t="shared" si="0"/>
        <v>0.17157712305026</v>
      </c>
      <c r="I18" s="5">
        <v>16</v>
      </c>
      <c r="J18" s="5">
        <v>7</v>
      </c>
      <c r="K18" s="5">
        <v>10</v>
      </c>
      <c r="L18" s="5">
        <v>3</v>
      </c>
      <c r="M18" s="5">
        <v>4</v>
      </c>
      <c r="N18" s="15"/>
      <c r="O18" s="15"/>
      <c r="P18" s="15"/>
      <c r="Q18" s="15"/>
      <c r="R18" s="15"/>
    </row>
    <row r="19" spans="1:18">
      <c r="A19" s="5">
        <v>15</v>
      </c>
      <c r="B19" s="5">
        <f>ROUND(A19*설정!$C$16/60,1)</f>
        <v>10</v>
      </c>
      <c r="C19" s="8">
        <v>856</v>
      </c>
      <c r="D19" s="8">
        <v>1653</v>
      </c>
      <c r="E19" s="8">
        <v>4392</v>
      </c>
      <c r="F19" s="8">
        <v>599</v>
      </c>
      <c r="G19" s="8">
        <v>9662</v>
      </c>
      <c r="H19" s="22">
        <f t="shared" si="0"/>
        <v>0.266272189349112</v>
      </c>
      <c r="I19" s="5">
        <v>17</v>
      </c>
      <c r="J19" s="5">
        <v>8</v>
      </c>
      <c r="K19" s="5">
        <v>11</v>
      </c>
      <c r="L19" s="5">
        <v>4</v>
      </c>
      <c r="M19" s="5">
        <v>5</v>
      </c>
      <c r="N19" s="15"/>
      <c r="O19" s="15"/>
      <c r="P19" s="15"/>
      <c r="Q19" s="15"/>
      <c r="R19" s="15"/>
    </row>
    <row r="20" spans="1:18">
      <c r="A20" s="5">
        <v>16</v>
      </c>
      <c r="B20" s="5">
        <f>ROUND(A20*설정!$C$16/60,1)</f>
        <v>10.7</v>
      </c>
      <c r="C20" s="8">
        <v>1005</v>
      </c>
      <c r="D20" s="8">
        <v>2070</v>
      </c>
      <c r="E20" s="8">
        <v>5194</v>
      </c>
      <c r="F20" s="8">
        <v>754</v>
      </c>
      <c r="G20" s="8">
        <v>12466</v>
      </c>
      <c r="H20" s="22">
        <f t="shared" si="0"/>
        <v>0.174065420560748</v>
      </c>
      <c r="I20" s="5">
        <v>20</v>
      </c>
      <c r="J20" s="5">
        <v>10</v>
      </c>
      <c r="K20" s="5">
        <v>11</v>
      </c>
      <c r="L20" s="5">
        <v>5</v>
      </c>
      <c r="M20" s="5">
        <v>6</v>
      </c>
      <c r="N20" s="15"/>
      <c r="O20" s="15"/>
      <c r="P20" s="15"/>
      <c r="Q20" s="15"/>
      <c r="R20" s="15"/>
    </row>
    <row r="21" spans="1:18">
      <c r="A21" s="5">
        <v>17</v>
      </c>
      <c r="B21" s="5">
        <f>ROUND(A21*설정!$C$16/60,1)</f>
        <v>11.3</v>
      </c>
      <c r="C21" s="8">
        <v>1224</v>
      </c>
      <c r="D21" s="8">
        <v>2544</v>
      </c>
      <c r="E21" s="8">
        <v>6322</v>
      </c>
      <c r="F21" s="8">
        <v>979</v>
      </c>
      <c r="G21" s="8">
        <v>15806</v>
      </c>
      <c r="H21" s="22">
        <f t="shared" si="0"/>
        <v>0.217910447761194</v>
      </c>
      <c r="I21" s="5">
        <v>22</v>
      </c>
      <c r="J21" s="5">
        <v>12</v>
      </c>
      <c r="K21" s="5">
        <v>12</v>
      </c>
      <c r="L21" s="5">
        <v>6</v>
      </c>
      <c r="M21" s="5">
        <v>6</v>
      </c>
      <c r="N21" s="15"/>
      <c r="O21" s="15"/>
      <c r="P21" s="15"/>
      <c r="Q21" s="15"/>
      <c r="R21" s="15"/>
    </row>
    <row r="22" spans="1:18">
      <c r="A22" s="5">
        <v>18</v>
      </c>
      <c r="B22" s="5">
        <f>ROUND(A22*설정!$C$16/60,1)</f>
        <v>12</v>
      </c>
      <c r="C22" s="8">
        <v>1502</v>
      </c>
      <c r="D22" s="8">
        <v>3011</v>
      </c>
      <c r="E22" s="8">
        <v>7349</v>
      </c>
      <c r="F22" s="8">
        <v>1202</v>
      </c>
      <c r="G22" s="8">
        <v>19107</v>
      </c>
      <c r="H22" s="22">
        <f t="shared" si="0"/>
        <v>0.227124183006536</v>
      </c>
      <c r="I22" s="5">
        <v>23</v>
      </c>
      <c r="J22" s="5">
        <v>14</v>
      </c>
      <c r="K22" s="5">
        <v>13</v>
      </c>
      <c r="L22" s="5">
        <v>8</v>
      </c>
      <c r="M22" s="5">
        <v>7</v>
      </c>
      <c r="N22" s="15"/>
      <c r="O22" s="15"/>
      <c r="P22" s="15"/>
      <c r="Q22" s="15"/>
      <c r="R22" s="15"/>
    </row>
    <row r="23" spans="1:18">
      <c r="A23" s="5">
        <v>19</v>
      </c>
      <c r="B23" s="5">
        <f>ROUND(A23*설정!$C$16/60,1)</f>
        <v>12.7</v>
      </c>
      <c r="C23" s="8">
        <v>1807</v>
      </c>
      <c r="D23" s="8">
        <v>3666</v>
      </c>
      <c r="E23" s="8">
        <v>8362</v>
      </c>
      <c r="F23" s="8">
        <v>1536</v>
      </c>
      <c r="G23" s="8">
        <v>22577</v>
      </c>
      <c r="H23" s="22">
        <f t="shared" si="0"/>
        <v>0.20306258322237</v>
      </c>
      <c r="I23" s="5">
        <v>25</v>
      </c>
      <c r="J23" s="5">
        <v>15</v>
      </c>
      <c r="K23" s="5">
        <v>14</v>
      </c>
      <c r="L23" s="5">
        <v>9</v>
      </c>
      <c r="M23" s="5">
        <v>8</v>
      </c>
      <c r="N23" s="15"/>
      <c r="O23" s="15"/>
      <c r="P23" s="15"/>
      <c r="Q23" s="15"/>
      <c r="R23" s="15"/>
    </row>
    <row r="24" spans="1:18">
      <c r="A24" s="5">
        <v>20</v>
      </c>
      <c r="B24" s="5">
        <f>ROUND(A24*설정!$C$16/60,1)</f>
        <v>13.3</v>
      </c>
      <c r="C24" s="8">
        <v>2132</v>
      </c>
      <c r="D24" s="8">
        <v>4244</v>
      </c>
      <c r="E24" s="8">
        <v>9410</v>
      </c>
      <c r="F24" s="8">
        <v>1919</v>
      </c>
      <c r="G24" s="8">
        <v>26348</v>
      </c>
      <c r="H24" s="22">
        <f t="shared" si="0"/>
        <v>0.179856115107914</v>
      </c>
      <c r="I24" s="5">
        <v>27</v>
      </c>
      <c r="J24" s="5">
        <v>17</v>
      </c>
      <c r="K24" s="5">
        <v>15</v>
      </c>
      <c r="L24" s="5">
        <v>9</v>
      </c>
      <c r="M24" s="5">
        <v>9</v>
      </c>
      <c r="N24" s="15"/>
      <c r="O24" s="15"/>
      <c r="P24" s="15"/>
      <c r="Q24" s="15"/>
      <c r="R24" s="15"/>
    </row>
    <row r="25" spans="1:18">
      <c r="A25" s="5">
        <v>21</v>
      </c>
      <c r="B25" s="5">
        <f>ROUND(A25*설정!$C$16/60,1)</f>
        <v>14</v>
      </c>
      <c r="C25" s="8">
        <v>2471</v>
      </c>
      <c r="D25" s="8">
        <v>4925</v>
      </c>
      <c r="E25" s="8">
        <v>10628</v>
      </c>
      <c r="F25" s="8">
        <v>2348</v>
      </c>
      <c r="G25" s="8">
        <v>30821</v>
      </c>
      <c r="H25" s="22">
        <f t="shared" si="0"/>
        <v>0.159005628517824</v>
      </c>
      <c r="I25" s="5">
        <v>28</v>
      </c>
      <c r="J25" s="5">
        <v>18</v>
      </c>
      <c r="K25" s="5">
        <v>16</v>
      </c>
      <c r="L25" s="5">
        <v>11</v>
      </c>
      <c r="M25" s="5">
        <v>10</v>
      </c>
      <c r="N25" s="15"/>
      <c r="O25" s="15"/>
      <c r="P25" s="15"/>
      <c r="Q25" s="15"/>
      <c r="R25" s="15"/>
    </row>
    <row r="26" spans="1:18">
      <c r="A26" s="5">
        <v>22</v>
      </c>
      <c r="B26" s="5">
        <f>ROUND(A26*설정!$C$16/60,1)</f>
        <v>14.7</v>
      </c>
      <c r="C26" s="8">
        <v>2852</v>
      </c>
      <c r="D26" s="8">
        <v>5593</v>
      </c>
      <c r="E26" s="8">
        <v>11546</v>
      </c>
      <c r="F26" s="8">
        <v>2852</v>
      </c>
      <c r="G26" s="8">
        <v>34637</v>
      </c>
      <c r="H26" s="22">
        <f t="shared" si="0"/>
        <v>0.15418858761635</v>
      </c>
      <c r="I26" s="5">
        <v>30</v>
      </c>
      <c r="J26" s="5">
        <v>20</v>
      </c>
      <c r="K26" s="5">
        <v>16</v>
      </c>
      <c r="L26" s="5">
        <v>12</v>
      </c>
      <c r="M26" s="5">
        <v>11</v>
      </c>
      <c r="N26" s="15"/>
      <c r="O26" s="15"/>
      <c r="P26" s="15"/>
      <c r="Q26" s="15"/>
      <c r="R26" s="15"/>
    </row>
    <row r="27" spans="1:18">
      <c r="A27" s="5">
        <v>23</v>
      </c>
      <c r="B27" s="5">
        <f>ROUND(A27*설정!$C$16/60,1)</f>
        <v>15.3</v>
      </c>
      <c r="C27" s="8">
        <v>3268</v>
      </c>
      <c r="D27" s="8">
        <v>6125</v>
      </c>
      <c r="E27" s="8">
        <v>12694</v>
      </c>
      <c r="F27" s="8">
        <v>3431</v>
      </c>
      <c r="G27" s="8">
        <v>38082</v>
      </c>
      <c r="H27" s="22">
        <f t="shared" si="0"/>
        <v>0.14586255259467</v>
      </c>
      <c r="I27" s="5">
        <v>32</v>
      </c>
      <c r="J27" s="5">
        <v>21</v>
      </c>
      <c r="K27" s="5">
        <v>18</v>
      </c>
      <c r="L27" s="5">
        <v>13</v>
      </c>
      <c r="M27" s="5">
        <v>11</v>
      </c>
      <c r="N27" s="15"/>
      <c r="O27" s="15"/>
      <c r="P27" s="15"/>
      <c r="Q27" s="15"/>
      <c r="R27" s="15"/>
    </row>
    <row r="28" spans="1:18">
      <c r="A28" s="5">
        <v>24</v>
      </c>
      <c r="B28" s="5">
        <f>ROUND(A28*설정!$C$16/60,1)</f>
        <v>16</v>
      </c>
      <c r="C28" s="8">
        <v>3859</v>
      </c>
      <c r="D28" s="8">
        <v>7015</v>
      </c>
      <c r="E28" s="8">
        <v>13930</v>
      </c>
      <c r="F28" s="8">
        <v>4052</v>
      </c>
      <c r="G28" s="8">
        <v>43183</v>
      </c>
      <c r="H28" s="22">
        <f t="shared" si="0"/>
        <v>0.180844553243574</v>
      </c>
      <c r="I28" s="5">
        <v>33</v>
      </c>
      <c r="J28" s="5">
        <v>23</v>
      </c>
      <c r="K28" s="5">
        <v>18</v>
      </c>
      <c r="L28" s="5">
        <v>14</v>
      </c>
      <c r="M28" s="5">
        <v>12</v>
      </c>
      <c r="N28" s="15"/>
      <c r="O28" s="12" t="s">
        <v>200</v>
      </c>
      <c r="P28" s="15"/>
      <c r="Q28" s="15"/>
      <c r="R28" s="15"/>
    </row>
    <row r="29" spans="1:18">
      <c r="A29" s="5">
        <v>25</v>
      </c>
      <c r="B29" s="5">
        <f>ROUND(A29*설정!$C$16/60,1)</f>
        <v>16.7</v>
      </c>
      <c r="C29" s="8">
        <v>4244</v>
      </c>
      <c r="D29" s="8">
        <v>7639</v>
      </c>
      <c r="E29" s="8">
        <v>14804</v>
      </c>
      <c r="F29" s="8">
        <v>4668</v>
      </c>
      <c r="G29" s="8">
        <v>47373</v>
      </c>
      <c r="H29" s="22">
        <f t="shared" si="0"/>
        <v>0.0997667789582795</v>
      </c>
      <c r="I29" s="5">
        <v>35</v>
      </c>
      <c r="J29" s="5">
        <v>24</v>
      </c>
      <c r="K29" s="5">
        <v>19</v>
      </c>
      <c r="L29" s="5">
        <v>14</v>
      </c>
      <c r="M29" s="5">
        <v>13</v>
      </c>
      <c r="N29" s="15"/>
      <c r="O29" s="23" t="s">
        <v>53</v>
      </c>
      <c r="P29" s="23" t="s">
        <v>201</v>
      </c>
      <c r="Q29" s="23" t="s">
        <v>202</v>
      </c>
      <c r="R29" s="23" t="s">
        <v>203</v>
      </c>
    </row>
    <row r="30" spans="1:18">
      <c r="A30" s="5">
        <v>26</v>
      </c>
      <c r="B30" s="5">
        <f>ROUND(A30*설정!$C$16/60,1)</f>
        <v>17.3</v>
      </c>
      <c r="C30" s="8">
        <v>4721</v>
      </c>
      <c r="D30" s="8">
        <v>8362</v>
      </c>
      <c r="E30" s="8">
        <v>15869</v>
      </c>
      <c r="F30" s="8">
        <v>5430</v>
      </c>
      <c r="G30" s="8">
        <v>50781</v>
      </c>
      <c r="H30" s="22">
        <f t="shared" si="0"/>
        <v>0.11239396795476</v>
      </c>
      <c r="I30" s="5">
        <v>36</v>
      </c>
      <c r="J30" s="5">
        <v>25</v>
      </c>
      <c r="K30" s="5">
        <v>20</v>
      </c>
      <c r="L30" s="5">
        <v>15</v>
      </c>
      <c r="M30" s="5">
        <v>14</v>
      </c>
      <c r="N30" s="15"/>
      <c r="O30" s="7" t="s">
        <v>58</v>
      </c>
      <c r="P30" s="5">
        <v>1</v>
      </c>
      <c r="Q30" s="5">
        <v>1</v>
      </c>
      <c r="R30" s="5">
        <v>1</v>
      </c>
    </row>
    <row r="31" spans="1:18">
      <c r="A31" s="5">
        <v>27</v>
      </c>
      <c r="B31" s="5">
        <f>ROUND(A31*설정!$C$16/60,1)</f>
        <v>18</v>
      </c>
      <c r="C31" s="8">
        <v>5194</v>
      </c>
      <c r="D31" s="8">
        <v>9068</v>
      </c>
      <c r="E31" s="8">
        <v>16760</v>
      </c>
      <c r="F31" s="8">
        <v>6233</v>
      </c>
      <c r="G31" s="8">
        <v>55308</v>
      </c>
      <c r="H31" s="22">
        <f t="shared" si="0"/>
        <v>0.100190637576784</v>
      </c>
      <c r="I31" s="5">
        <v>37</v>
      </c>
      <c r="J31" s="5">
        <v>27</v>
      </c>
      <c r="K31" s="5">
        <v>21</v>
      </c>
      <c r="L31" s="5">
        <v>16</v>
      </c>
      <c r="M31" s="5">
        <v>14</v>
      </c>
      <c r="N31" s="15"/>
      <c r="O31" s="7" t="s">
        <v>60</v>
      </c>
      <c r="P31" s="5">
        <v>13</v>
      </c>
      <c r="Q31" s="5">
        <v>11</v>
      </c>
      <c r="R31" s="5">
        <v>9</v>
      </c>
    </row>
    <row r="32" spans="1:18">
      <c r="A32" s="5">
        <v>28</v>
      </c>
      <c r="B32" s="5">
        <f>ROUND(A32*설정!$C$16/60,1)</f>
        <v>18.7</v>
      </c>
      <c r="C32" s="8">
        <v>5791</v>
      </c>
      <c r="D32" s="8">
        <v>9834</v>
      </c>
      <c r="E32" s="8">
        <v>17819</v>
      </c>
      <c r="F32" s="8">
        <v>6950</v>
      </c>
      <c r="G32" s="8">
        <v>58803</v>
      </c>
      <c r="H32" s="22">
        <f t="shared" si="0"/>
        <v>0.114940315748941</v>
      </c>
      <c r="I32" s="5">
        <v>39</v>
      </c>
      <c r="J32" s="5">
        <v>27</v>
      </c>
      <c r="K32" s="5">
        <v>21</v>
      </c>
      <c r="L32" s="5">
        <v>17</v>
      </c>
      <c r="M32" s="5">
        <v>15</v>
      </c>
      <c r="N32" s="15"/>
      <c r="O32" s="7" t="s">
        <v>62</v>
      </c>
      <c r="P32" s="5">
        <v>20</v>
      </c>
      <c r="Q32" s="5">
        <v>16</v>
      </c>
      <c r="R32" s="5">
        <v>13</v>
      </c>
    </row>
    <row r="33" spans="1:18">
      <c r="A33" s="5">
        <v>29</v>
      </c>
      <c r="B33" s="5">
        <f>ROUND(A33*설정!$C$16/60,1)</f>
        <v>19.3</v>
      </c>
      <c r="C33" s="8">
        <v>6322</v>
      </c>
      <c r="D33" s="8">
        <v>10472</v>
      </c>
      <c r="E33" s="8">
        <v>18629</v>
      </c>
      <c r="F33" s="8">
        <v>7903</v>
      </c>
      <c r="G33" s="8">
        <v>63339</v>
      </c>
      <c r="H33" s="22">
        <f t="shared" si="0"/>
        <v>0.0916940079433604</v>
      </c>
      <c r="I33" s="5">
        <v>40</v>
      </c>
      <c r="J33" s="5">
        <v>29</v>
      </c>
      <c r="K33" s="5">
        <v>22</v>
      </c>
      <c r="L33" s="5">
        <v>18</v>
      </c>
      <c r="M33" s="5">
        <v>15</v>
      </c>
      <c r="N33" s="15"/>
      <c r="O33" s="7" t="s">
        <v>64</v>
      </c>
      <c r="P33" s="5">
        <v>29</v>
      </c>
      <c r="Q33" s="5">
        <v>23</v>
      </c>
      <c r="R33" s="5">
        <v>17</v>
      </c>
    </row>
    <row r="34" spans="1:18">
      <c r="A34" s="5">
        <v>30</v>
      </c>
      <c r="B34" s="5">
        <f>ROUND(A34*설정!$C$16/60,1)</f>
        <v>20</v>
      </c>
      <c r="C34" s="8">
        <v>7015</v>
      </c>
      <c r="D34" s="8">
        <v>11227</v>
      </c>
      <c r="E34" s="8">
        <v>19884</v>
      </c>
      <c r="F34" s="8">
        <v>8769</v>
      </c>
      <c r="G34" s="8">
        <v>67607</v>
      </c>
      <c r="H34" s="22">
        <f t="shared" si="0"/>
        <v>0.109617209743752</v>
      </c>
      <c r="I34" s="5">
        <v>41</v>
      </c>
      <c r="J34" s="5">
        <v>30</v>
      </c>
      <c r="K34" s="5">
        <v>23</v>
      </c>
      <c r="L34" s="5">
        <v>18</v>
      </c>
      <c r="M34" s="5">
        <v>16</v>
      </c>
      <c r="N34" s="15"/>
      <c r="O34" s="7" t="s">
        <v>66</v>
      </c>
      <c r="P34" s="5">
        <v>45</v>
      </c>
      <c r="Q34" s="5">
        <v>36</v>
      </c>
      <c r="R34" s="5">
        <v>26</v>
      </c>
    </row>
    <row r="35" spans="1:18">
      <c r="A35" s="5">
        <v>31</v>
      </c>
      <c r="B35" s="5">
        <f>ROUND(A35*설정!$C$16/60,1)</f>
        <v>20.7</v>
      </c>
      <c r="C35" s="8">
        <v>7465</v>
      </c>
      <c r="D35" s="8">
        <v>11791</v>
      </c>
      <c r="E35" s="8">
        <v>20145</v>
      </c>
      <c r="F35" s="8">
        <v>9705</v>
      </c>
      <c r="G35" s="8">
        <v>70508</v>
      </c>
      <c r="H35" s="22">
        <f t="shared" si="0"/>
        <v>0.0641482537419815</v>
      </c>
      <c r="I35" s="5">
        <v>42</v>
      </c>
      <c r="J35" s="5">
        <v>31</v>
      </c>
      <c r="K35" s="5">
        <v>23</v>
      </c>
      <c r="L35" s="5">
        <v>19</v>
      </c>
      <c r="M35" s="5">
        <v>17</v>
      </c>
      <c r="N35" s="15"/>
      <c r="O35" s="7" t="s">
        <v>68</v>
      </c>
      <c r="P35" s="5">
        <v>113</v>
      </c>
      <c r="Q35" s="5">
        <v>88</v>
      </c>
      <c r="R35" s="5">
        <v>60</v>
      </c>
    </row>
    <row r="36" spans="1:18">
      <c r="A36" s="5">
        <v>32</v>
      </c>
      <c r="B36" s="5">
        <f>ROUND(A36*설정!$C$16/60,1)</f>
        <v>21.3</v>
      </c>
      <c r="C36" s="8">
        <v>7999</v>
      </c>
      <c r="D36" s="8">
        <v>12694</v>
      </c>
      <c r="E36" s="8">
        <v>21607</v>
      </c>
      <c r="F36" s="8">
        <v>10798</v>
      </c>
      <c r="G36" s="8">
        <v>75624</v>
      </c>
      <c r="H36" s="22">
        <f t="shared" si="0"/>
        <v>0.0715338245144006</v>
      </c>
      <c r="I36" s="5">
        <v>43</v>
      </c>
      <c r="J36" s="5">
        <v>32</v>
      </c>
      <c r="K36" s="5">
        <v>24</v>
      </c>
      <c r="L36" s="5">
        <v>20</v>
      </c>
      <c r="M36" s="5">
        <v>17</v>
      </c>
      <c r="N36" s="15"/>
      <c r="O36" s="15"/>
      <c r="P36" s="15"/>
      <c r="Q36" s="15"/>
      <c r="R36" s="15"/>
    </row>
    <row r="37" spans="1:18">
      <c r="A37" s="5">
        <v>33</v>
      </c>
      <c r="B37" s="5">
        <f>ROUND(A37*설정!$C$16/60,1)</f>
        <v>22</v>
      </c>
      <c r="C37" s="8">
        <v>8684</v>
      </c>
      <c r="D37" s="8">
        <v>13372</v>
      </c>
      <c r="E37" s="8">
        <v>22007</v>
      </c>
      <c r="F37" s="8">
        <v>11724</v>
      </c>
      <c r="G37" s="8">
        <v>79225</v>
      </c>
      <c r="H37" s="22">
        <f t="shared" si="0"/>
        <v>0.0856357044630578</v>
      </c>
      <c r="I37" s="5">
        <v>44</v>
      </c>
      <c r="J37" s="5">
        <v>32</v>
      </c>
      <c r="K37" s="5">
        <v>25</v>
      </c>
      <c r="L37" s="5">
        <v>20</v>
      </c>
      <c r="M37" s="5">
        <v>18</v>
      </c>
      <c r="N37" s="15"/>
      <c r="O37" s="11" t="s">
        <v>204</v>
      </c>
      <c r="P37" s="15"/>
      <c r="Q37" s="15"/>
      <c r="R37" s="15"/>
    </row>
    <row r="38" spans="1:18">
      <c r="A38" s="5">
        <v>34</v>
      </c>
      <c r="B38" s="5">
        <f>ROUND(A38*설정!$C$16/60,1)</f>
        <v>22.7</v>
      </c>
      <c r="C38" s="8">
        <v>9068</v>
      </c>
      <c r="D38" s="8">
        <v>14214</v>
      </c>
      <c r="E38" s="8">
        <v>23005</v>
      </c>
      <c r="F38" s="8">
        <v>12695</v>
      </c>
      <c r="G38" s="8">
        <v>82819</v>
      </c>
      <c r="H38" s="22">
        <f t="shared" si="0"/>
        <v>0.0442192538000921</v>
      </c>
      <c r="I38" s="5">
        <v>45</v>
      </c>
      <c r="J38" s="5">
        <v>34</v>
      </c>
      <c r="K38" s="5">
        <v>25</v>
      </c>
      <c r="L38" s="5">
        <v>21</v>
      </c>
      <c r="M38" s="5">
        <v>18</v>
      </c>
      <c r="N38" s="15"/>
      <c r="O38" s="15"/>
      <c r="P38" s="15"/>
      <c r="Q38" s="15"/>
      <c r="R38" s="15"/>
    </row>
    <row r="39" spans="1:18">
      <c r="A39" s="5">
        <v>35</v>
      </c>
      <c r="B39" s="5">
        <f>ROUND(A39*설정!$C$16/60,1)</f>
        <v>23.3</v>
      </c>
      <c r="C39" s="8">
        <v>9834</v>
      </c>
      <c r="D39" s="8">
        <v>14599</v>
      </c>
      <c r="E39" s="8">
        <v>24298</v>
      </c>
      <c r="F39" s="8">
        <v>13768</v>
      </c>
      <c r="G39" s="8">
        <v>87472</v>
      </c>
      <c r="H39" s="22">
        <f t="shared" si="0"/>
        <v>0.0844728716365239</v>
      </c>
      <c r="I39" s="5">
        <v>46</v>
      </c>
      <c r="J39" s="5">
        <v>34</v>
      </c>
      <c r="K39" s="5">
        <v>26</v>
      </c>
      <c r="L39" s="5">
        <v>21</v>
      </c>
      <c r="M39" s="5">
        <v>19</v>
      </c>
      <c r="N39" s="15"/>
      <c r="O39" s="15"/>
      <c r="P39" s="15"/>
      <c r="Q39" s="15"/>
      <c r="R39" s="15"/>
    </row>
    <row r="40" spans="1:18">
      <c r="A40" s="5">
        <v>36</v>
      </c>
      <c r="B40" s="5">
        <f>ROUND(A40*설정!$C$16/60,1)</f>
        <v>24</v>
      </c>
      <c r="C40" s="8">
        <v>10250</v>
      </c>
      <c r="D40" s="8">
        <v>15247</v>
      </c>
      <c r="E40" s="8">
        <v>24298</v>
      </c>
      <c r="F40" s="8">
        <v>14862</v>
      </c>
      <c r="G40" s="8">
        <v>89902</v>
      </c>
      <c r="H40" s="22">
        <f t="shared" si="0"/>
        <v>0.0423022167988611</v>
      </c>
      <c r="I40" s="5">
        <v>47</v>
      </c>
      <c r="J40" s="5">
        <v>35</v>
      </c>
      <c r="K40" s="5">
        <v>26</v>
      </c>
      <c r="L40" s="5">
        <v>22</v>
      </c>
      <c r="M40" s="5">
        <v>19</v>
      </c>
      <c r="N40" s="15"/>
      <c r="O40" s="15"/>
      <c r="P40" s="15"/>
      <c r="Q40" s="15"/>
      <c r="R40" s="15"/>
    </row>
    <row r="41" spans="1:18">
      <c r="A41" s="5">
        <v>37</v>
      </c>
      <c r="B41" s="5">
        <f>ROUND(A41*설정!$C$16/60,1)</f>
        <v>24.7</v>
      </c>
      <c r="C41" s="8">
        <v>10935</v>
      </c>
      <c r="D41" s="8">
        <v>15869</v>
      </c>
      <c r="E41" s="8">
        <v>25369</v>
      </c>
      <c r="F41" s="8">
        <v>15856</v>
      </c>
      <c r="G41" s="8">
        <v>93864</v>
      </c>
      <c r="H41" s="22">
        <f t="shared" si="0"/>
        <v>0.066829268292683</v>
      </c>
      <c r="I41" s="5">
        <v>48</v>
      </c>
      <c r="J41" s="5">
        <v>36</v>
      </c>
      <c r="K41" s="5">
        <v>27</v>
      </c>
      <c r="L41" s="5">
        <v>22</v>
      </c>
      <c r="M41" s="5">
        <v>19</v>
      </c>
      <c r="N41" s="15"/>
      <c r="O41" s="15"/>
      <c r="P41" s="15"/>
      <c r="Q41" s="15"/>
      <c r="R41" s="15"/>
    </row>
    <row r="42" spans="1:18">
      <c r="A42" s="5">
        <v>38</v>
      </c>
      <c r="B42" s="5">
        <f>ROUND(A42*설정!$C$16/60,1)</f>
        <v>25.3</v>
      </c>
      <c r="C42" s="8">
        <v>11546</v>
      </c>
      <c r="D42" s="8">
        <v>16760</v>
      </c>
      <c r="E42" s="8">
        <v>26437</v>
      </c>
      <c r="F42" s="8">
        <v>16741</v>
      </c>
      <c r="G42" s="8">
        <v>97816</v>
      </c>
      <c r="H42" s="22">
        <f t="shared" si="0"/>
        <v>0.055875628715135</v>
      </c>
      <c r="I42" s="5">
        <v>48</v>
      </c>
      <c r="J42" s="5">
        <v>36</v>
      </c>
      <c r="K42" s="5">
        <v>27</v>
      </c>
      <c r="L42" s="5">
        <v>23</v>
      </c>
      <c r="M42" s="5">
        <v>20</v>
      </c>
      <c r="N42" s="15"/>
      <c r="O42" s="15"/>
      <c r="P42" s="15"/>
      <c r="Q42" s="15"/>
      <c r="R42" s="15"/>
    </row>
    <row r="43" spans="1:18">
      <c r="A43" s="5">
        <v>39</v>
      </c>
      <c r="B43" s="5">
        <f>ROUND(A43*설정!$C$16/60,1)</f>
        <v>26</v>
      </c>
      <c r="C43" s="8">
        <v>11791</v>
      </c>
      <c r="D43" s="8">
        <v>17431</v>
      </c>
      <c r="E43" s="8">
        <v>26940</v>
      </c>
      <c r="F43" s="8">
        <v>17687</v>
      </c>
      <c r="G43" s="8">
        <v>102374</v>
      </c>
      <c r="H43" s="22">
        <f t="shared" si="0"/>
        <v>0.0212194699463017</v>
      </c>
      <c r="I43" s="5">
        <v>49</v>
      </c>
      <c r="J43" s="5">
        <v>37</v>
      </c>
      <c r="K43" s="5">
        <v>28</v>
      </c>
      <c r="L43" s="5">
        <v>24</v>
      </c>
      <c r="M43" s="5">
        <v>20</v>
      </c>
      <c r="N43" s="15"/>
      <c r="O43" s="15"/>
      <c r="P43" s="15"/>
      <c r="Q43" s="15"/>
      <c r="R43" s="15"/>
    </row>
    <row r="44" spans="1:18">
      <c r="A44" s="5">
        <v>40</v>
      </c>
      <c r="B44" s="5">
        <f>ROUND(A44*설정!$C$16/60,1)</f>
        <v>26.7</v>
      </c>
      <c r="C44" s="8">
        <v>12694</v>
      </c>
      <c r="D44" s="8">
        <v>17819</v>
      </c>
      <c r="E44" s="8">
        <v>27574</v>
      </c>
      <c r="F44" s="8">
        <v>19041</v>
      </c>
      <c r="G44" s="8">
        <v>104781</v>
      </c>
      <c r="H44" s="22">
        <f t="shared" si="0"/>
        <v>0.0765838351284878</v>
      </c>
      <c r="I44" s="5">
        <v>50</v>
      </c>
      <c r="J44" s="5">
        <v>37</v>
      </c>
      <c r="K44" s="5">
        <v>28</v>
      </c>
      <c r="L44" s="5">
        <v>24</v>
      </c>
      <c r="M44" s="5">
        <v>20</v>
      </c>
      <c r="N44" s="15"/>
      <c r="O44" s="15"/>
      <c r="P44" s="15"/>
      <c r="Q44" s="15"/>
      <c r="R44" s="15"/>
    </row>
    <row r="45" spans="1:18">
      <c r="A45" s="5">
        <v>41</v>
      </c>
      <c r="B45" s="5">
        <f>ROUND(A45*설정!$C$16/60,1)</f>
        <v>27.3</v>
      </c>
      <c r="C45" s="8">
        <v>13045</v>
      </c>
      <c r="D45" s="8">
        <v>18629</v>
      </c>
      <c r="E45" s="8">
        <v>28402</v>
      </c>
      <c r="F45" s="8">
        <v>19568</v>
      </c>
      <c r="G45" s="8">
        <v>107929</v>
      </c>
      <c r="H45" s="22">
        <f t="shared" si="0"/>
        <v>0.027650858673389</v>
      </c>
      <c r="I45" s="5">
        <v>50</v>
      </c>
      <c r="J45" s="5">
        <v>38</v>
      </c>
      <c r="K45" s="5">
        <v>29</v>
      </c>
      <c r="L45" s="5">
        <v>24</v>
      </c>
      <c r="M45" s="5">
        <v>21</v>
      </c>
      <c r="N45" s="15"/>
      <c r="O45" s="15"/>
      <c r="P45" s="15"/>
      <c r="Q45" s="15"/>
      <c r="R45" s="15"/>
    </row>
    <row r="46" spans="1:18">
      <c r="A46" s="5">
        <v>42</v>
      </c>
      <c r="B46" s="5">
        <f>ROUND(A46*설정!$C$16/60,1)</f>
        <v>28</v>
      </c>
      <c r="C46" s="8">
        <v>13372</v>
      </c>
      <c r="D46" s="8">
        <v>19360</v>
      </c>
      <c r="E46" s="8">
        <v>29245</v>
      </c>
      <c r="F46" s="8">
        <v>20726</v>
      </c>
      <c r="G46" s="8">
        <v>111131</v>
      </c>
      <c r="H46" s="22">
        <f t="shared" si="0"/>
        <v>0.0250670755078575</v>
      </c>
      <c r="I46" s="5">
        <v>51</v>
      </c>
      <c r="J46" s="5">
        <v>39</v>
      </c>
      <c r="K46" s="5">
        <v>29</v>
      </c>
      <c r="L46" s="5">
        <v>25</v>
      </c>
      <c r="M46" s="5">
        <v>21</v>
      </c>
      <c r="N46" s="15"/>
      <c r="O46" s="15"/>
      <c r="P46" s="15"/>
      <c r="Q46" s="15"/>
      <c r="R46" s="15"/>
    </row>
    <row r="47" spans="1:18">
      <c r="A47" s="5">
        <v>43</v>
      </c>
      <c r="B47" s="5">
        <f>ROUND(A47*설정!$C$16/60,1)</f>
        <v>28.7</v>
      </c>
      <c r="C47" s="8">
        <v>14214</v>
      </c>
      <c r="D47" s="8">
        <v>19884</v>
      </c>
      <c r="E47" s="8">
        <v>29749</v>
      </c>
      <c r="F47" s="8">
        <v>22032</v>
      </c>
      <c r="G47" s="8">
        <v>116022</v>
      </c>
      <c r="H47" s="22">
        <f t="shared" si="0"/>
        <v>0.0629673945557883</v>
      </c>
      <c r="I47" s="5">
        <v>52</v>
      </c>
      <c r="J47" s="5">
        <v>39</v>
      </c>
      <c r="K47" s="5">
        <v>29</v>
      </c>
      <c r="L47" s="5">
        <v>25</v>
      </c>
      <c r="M47" s="5">
        <v>22</v>
      </c>
      <c r="N47" s="15"/>
      <c r="O47" s="15"/>
      <c r="P47" s="15"/>
      <c r="Q47" s="15"/>
      <c r="R47" s="15"/>
    </row>
    <row r="48" spans="1:18">
      <c r="A48" s="5">
        <v>44</v>
      </c>
      <c r="B48" s="5">
        <f>ROUND(A48*설정!$C$16/60,1)</f>
        <v>29.3</v>
      </c>
      <c r="C48" s="8">
        <v>14599</v>
      </c>
      <c r="D48" s="8">
        <v>20145</v>
      </c>
      <c r="E48" s="8">
        <v>30804</v>
      </c>
      <c r="F48" s="8">
        <v>23358</v>
      </c>
      <c r="G48" s="8">
        <v>120137</v>
      </c>
      <c r="H48" s="22">
        <f t="shared" si="0"/>
        <v>0.0270859715773182</v>
      </c>
      <c r="I48" s="5">
        <v>52</v>
      </c>
      <c r="J48" s="5">
        <v>40</v>
      </c>
      <c r="K48" s="5">
        <v>30</v>
      </c>
      <c r="L48" s="5">
        <v>26</v>
      </c>
      <c r="M48" s="5">
        <v>22</v>
      </c>
      <c r="N48" s="15"/>
      <c r="O48" s="15"/>
      <c r="P48" s="15"/>
      <c r="Q48" s="15"/>
      <c r="R48" s="15"/>
    </row>
    <row r="49" spans="1:18">
      <c r="A49" s="5">
        <v>45</v>
      </c>
      <c r="B49" s="5">
        <f>ROUND(A49*설정!$C$16/60,1)</f>
        <v>30</v>
      </c>
      <c r="C49" s="8">
        <v>15247</v>
      </c>
      <c r="D49" s="8">
        <v>20814</v>
      </c>
      <c r="E49" s="8">
        <v>31359</v>
      </c>
      <c r="F49" s="8">
        <v>24394</v>
      </c>
      <c r="G49" s="8">
        <v>122299</v>
      </c>
      <c r="H49" s="22">
        <f t="shared" si="0"/>
        <v>0.0443866018220427</v>
      </c>
      <c r="I49" s="5">
        <v>53</v>
      </c>
      <c r="J49" s="5">
        <v>41</v>
      </c>
      <c r="K49" s="5">
        <v>30</v>
      </c>
      <c r="L49" s="5">
        <v>26</v>
      </c>
      <c r="M49" s="5">
        <v>22</v>
      </c>
      <c r="N49" s="15"/>
      <c r="O49" s="15"/>
      <c r="P49" s="15"/>
      <c r="Q49" s="15"/>
      <c r="R49" s="15"/>
    </row>
    <row r="50" spans="1:18">
      <c r="A50" s="5">
        <v>46</v>
      </c>
      <c r="B50" s="5">
        <f>ROUND(A50*설정!$C$16/60,1)</f>
        <v>30.7</v>
      </c>
      <c r="C50" s="8">
        <v>15869</v>
      </c>
      <c r="D50" s="8">
        <v>21607</v>
      </c>
      <c r="E50" s="8">
        <v>32073</v>
      </c>
      <c r="F50" s="8">
        <v>25391</v>
      </c>
      <c r="G50" s="8">
        <v>125085</v>
      </c>
      <c r="H50" s="22">
        <f t="shared" si="0"/>
        <v>0.0407949104741916</v>
      </c>
      <c r="I50" s="5">
        <v>53</v>
      </c>
      <c r="J50" s="5">
        <v>41</v>
      </c>
      <c r="K50" s="5">
        <v>30</v>
      </c>
      <c r="L50" s="5">
        <v>26</v>
      </c>
      <c r="M50" s="5">
        <v>23</v>
      </c>
      <c r="N50" s="15"/>
      <c r="O50" s="15"/>
      <c r="P50" s="15"/>
      <c r="Q50" s="15"/>
      <c r="R50" s="15"/>
    </row>
    <row r="51" spans="1:18">
      <c r="A51" s="5">
        <v>47</v>
      </c>
      <c r="B51" s="5">
        <f>ROUND(A51*설정!$C$16/60,1)</f>
        <v>31.3</v>
      </c>
      <c r="C51" s="8">
        <v>15869</v>
      </c>
      <c r="D51" s="8">
        <v>22007</v>
      </c>
      <c r="E51" s="8">
        <v>32617</v>
      </c>
      <c r="F51" s="8">
        <v>26184</v>
      </c>
      <c r="G51" s="8">
        <v>127205</v>
      </c>
      <c r="H51" s="22">
        <f t="shared" si="0"/>
        <v>0</v>
      </c>
      <c r="I51" s="5">
        <v>54</v>
      </c>
      <c r="J51" s="5">
        <v>41</v>
      </c>
      <c r="K51" s="5">
        <v>31</v>
      </c>
      <c r="L51" s="5">
        <v>26</v>
      </c>
      <c r="M51" s="5">
        <v>23</v>
      </c>
      <c r="N51" s="15"/>
      <c r="O51" s="15"/>
      <c r="P51" s="15"/>
      <c r="Q51" s="15"/>
      <c r="R51" s="15"/>
    </row>
    <row r="52" spans="1:18">
      <c r="A52" s="5">
        <v>48</v>
      </c>
      <c r="B52" s="5">
        <f>ROUND(A52*설정!$C$16/60,1)</f>
        <v>32</v>
      </c>
      <c r="C52" s="8">
        <v>16438</v>
      </c>
      <c r="D52" s="8">
        <v>22549</v>
      </c>
      <c r="E52" s="8">
        <v>33353</v>
      </c>
      <c r="F52" s="8">
        <v>27122</v>
      </c>
      <c r="G52" s="8">
        <v>133412</v>
      </c>
      <c r="H52" s="22">
        <f t="shared" si="0"/>
        <v>0.0358560715861114</v>
      </c>
      <c r="I52" s="5">
        <v>54</v>
      </c>
      <c r="J52" s="5">
        <v>42</v>
      </c>
      <c r="K52" s="5">
        <v>31</v>
      </c>
      <c r="L52" s="5">
        <v>27</v>
      </c>
      <c r="M52" s="5">
        <v>23</v>
      </c>
      <c r="N52" s="15"/>
      <c r="O52" s="15"/>
      <c r="P52" s="15"/>
      <c r="Q52" s="15"/>
      <c r="R52" s="15"/>
    </row>
    <row r="53" spans="1:18">
      <c r="A53" s="5">
        <v>49</v>
      </c>
      <c r="B53" s="5">
        <f>ROUND(A53*설정!$C$16/60,1)</f>
        <v>32.7</v>
      </c>
      <c r="C53" s="8">
        <v>16988</v>
      </c>
      <c r="D53" s="8">
        <v>23424</v>
      </c>
      <c r="E53" s="8">
        <v>33939</v>
      </c>
      <c r="F53" s="8">
        <v>28030</v>
      </c>
      <c r="G53" s="8">
        <v>135757</v>
      </c>
      <c r="H53" s="22">
        <f t="shared" si="0"/>
        <v>0.0334590582795962</v>
      </c>
      <c r="I53" s="5">
        <v>55</v>
      </c>
      <c r="J53" s="5">
        <v>43</v>
      </c>
      <c r="K53" s="5">
        <v>32</v>
      </c>
      <c r="L53" s="5">
        <v>27</v>
      </c>
      <c r="M53" s="5">
        <v>23</v>
      </c>
      <c r="N53" s="15"/>
      <c r="O53" s="15"/>
      <c r="P53" s="15"/>
      <c r="Q53" s="15"/>
      <c r="R53" s="15"/>
    </row>
    <row r="54" spans="1:18">
      <c r="A54" s="5">
        <v>50</v>
      </c>
      <c r="B54" s="5">
        <f>ROUND(A54*설정!$C$16/60,1)</f>
        <v>33.3</v>
      </c>
      <c r="C54" s="8">
        <v>17819</v>
      </c>
      <c r="D54" s="8">
        <v>23993</v>
      </c>
      <c r="E54" s="8">
        <v>34505</v>
      </c>
      <c r="F54" s="8">
        <v>29402</v>
      </c>
      <c r="G54" s="8">
        <v>138019</v>
      </c>
      <c r="H54" s="22">
        <f t="shared" si="0"/>
        <v>0.0489168825052979</v>
      </c>
      <c r="I54" s="5">
        <v>55</v>
      </c>
      <c r="J54" s="5">
        <v>43</v>
      </c>
      <c r="K54" s="5">
        <v>32</v>
      </c>
      <c r="L54" s="5">
        <v>27</v>
      </c>
      <c r="M54" s="5">
        <v>24</v>
      </c>
      <c r="N54" s="15"/>
      <c r="O54" s="15"/>
      <c r="P54" s="15"/>
      <c r="Q54" s="15"/>
      <c r="R54" s="15"/>
    </row>
    <row r="55" spans="1:18">
      <c r="A55" s="5">
        <v>51</v>
      </c>
      <c r="B55" s="5">
        <f>ROUND(A55*설정!$C$16/60,1)</f>
        <v>34</v>
      </c>
      <c r="C55" s="8">
        <v>17819</v>
      </c>
      <c r="D55" s="8">
        <v>24298</v>
      </c>
      <c r="E55" s="8">
        <v>35690</v>
      </c>
      <c r="F55" s="8">
        <v>30293</v>
      </c>
      <c r="G55" s="8">
        <v>142761</v>
      </c>
      <c r="H55" s="22">
        <f t="shared" si="0"/>
        <v>0</v>
      </c>
      <c r="I55" s="5">
        <v>56</v>
      </c>
      <c r="J55" s="5">
        <v>43</v>
      </c>
      <c r="K55" s="5">
        <v>32</v>
      </c>
      <c r="L55" s="5">
        <v>28</v>
      </c>
      <c r="M55" s="5">
        <v>24</v>
      </c>
      <c r="N55" s="15"/>
      <c r="O55" s="15"/>
      <c r="P55" s="15"/>
      <c r="Q55" s="15"/>
      <c r="R55" s="15"/>
    </row>
    <row r="56" spans="1:18">
      <c r="A56" s="5">
        <v>52</v>
      </c>
      <c r="B56" s="5">
        <f>ROUND(A56*설정!$C$16/60,1)</f>
        <v>34.7</v>
      </c>
      <c r="C56" s="8">
        <v>18629</v>
      </c>
      <c r="D56" s="8">
        <v>24298</v>
      </c>
      <c r="E56" s="8">
        <v>35690</v>
      </c>
      <c r="F56" s="8">
        <v>31669</v>
      </c>
      <c r="G56" s="8">
        <v>146330</v>
      </c>
      <c r="H56" s="22">
        <f t="shared" si="0"/>
        <v>0.0454570963578202</v>
      </c>
      <c r="I56" s="5">
        <v>56</v>
      </c>
      <c r="J56" s="5">
        <v>44</v>
      </c>
      <c r="K56" s="5">
        <v>32</v>
      </c>
      <c r="L56" s="5">
        <v>28</v>
      </c>
      <c r="M56" s="5">
        <v>24</v>
      </c>
      <c r="N56" s="15"/>
      <c r="O56" s="15"/>
      <c r="P56" s="15"/>
      <c r="Q56" s="15"/>
      <c r="R56" s="15"/>
    </row>
    <row r="57" spans="1:18">
      <c r="A57" s="5">
        <v>53</v>
      </c>
      <c r="B57" s="5">
        <f>ROUND(A57*설정!$C$16/60,1)</f>
        <v>35.3</v>
      </c>
      <c r="C57" s="8">
        <v>18877</v>
      </c>
      <c r="D57" s="8">
        <v>25369</v>
      </c>
      <c r="E57" s="8">
        <v>35883</v>
      </c>
      <c r="F57" s="8">
        <v>32091</v>
      </c>
      <c r="G57" s="8">
        <v>147119</v>
      </c>
      <c r="H57" s="22">
        <f t="shared" si="0"/>
        <v>0.0133125771646359</v>
      </c>
      <c r="I57" s="5">
        <v>57</v>
      </c>
      <c r="J57" s="5">
        <v>44</v>
      </c>
      <c r="K57" s="5">
        <v>33</v>
      </c>
      <c r="L57" s="5">
        <v>29</v>
      </c>
      <c r="M57" s="5">
        <v>24</v>
      </c>
      <c r="N57" s="15"/>
      <c r="O57" s="15"/>
      <c r="P57" s="15"/>
      <c r="Q57" s="15"/>
      <c r="R57" s="15"/>
    </row>
    <row r="58" spans="1:18">
      <c r="A58" s="5">
        <v>54</v>
      </c>
      <c r="B58" s="5">
        <f>ROUND(A58*설정!$C$16/60,1)</f>
        <v>36</v>
      </c>
      <c r="C58" s="8">
        <v>19884</v>
      </c>
      <c r="D58" s="8">
        <v>25822</v>
      </c>
      <c r="E58" s="8">
        <v>37100</v>
      </c>
      <c r="F58" s="8">
        <v>33803</v>
      </c>
      <c r="G58" s="8">
        <v>152111</v>
      </c>
      <c r="H58" s="22">
        <f t="shared" si="0"/>
        <v>0.0533453408910314</v>
      </c>
      <c r="I58" s="5">
        <v>57</v>
      </c>
      <c r="J58" s="5">
        <v>44</v>
      </c>
      <c r="K58" s="5">
        <v>33</v>
      </c>
      <c r="L58" s="5">
        <v>29</v>
      </c>
      <c r="M58" s="5">
        <v>25</v>
      </c>
      <c r="N58" s="15"/>
      <c r="O58" s="15"/>
      <c r="P58" s="15"/>
      <c r="Q58" s="15"/>
      <c r="R58" s="15"/>
    </row>
    <row r="59" spans="1:18">
      <c r="A59" s="5">
        <v>55</v>
      </c>
      <c r="B59" s="5">
        <f>ROUND(A59*설정!$C$16/60,1)</f>
        <v>36.7</v>
      </c>
      <c r="C59" s="8">
        <v>19884</v>
      </c>
      <c r="D59" s="8">
        <v>26766</v>
      </c>
      <c r="E59" s="8">
        <v>37709</v>
      </c>
      <c r="F59" s="8">
        <v>34798</v>
      </c>
      <c r="G59" s="8">
        <v>154605</v>
      </c>
      <c r="H59" s="22">
        <f t="shared" si="0"/>
        <v>0</v>
      </c>
      <c r="I59" s="5">
        <v>57</v>
      </c>
      <c r="J59" s="5">
        <v>45</v>
      </c>
      <c r="K59" s="5">
        <v>33</v>
      </c>
      <c r="L59" s="5">
        <v>29</v>
      </c>
      <c r="M59" s="5">
        <v>25</v>
      </c>
      <c r="N59" s="15"/>
      <c r="O59" s="15"/>
      <c r="P59" s="15"/>
      <c r="Q59" s="15"/>
      <c r="R59" s="15"/>
    </row>
    <row r="60" spans="1:18">
      <c r="A60" s="5">
        <v>56</v>
      </c>
      <c r="B60" s="5">
        <f>ROUND(A60*설정!$C$16/60,1)</f>
        <v>37.3</v>
      </c>
      <c r="C60" s="8">
        <v>20145</v>
      </c>
      <c r="D60" s="8">
        <v>26766</v>
      </c>
      <c r="E60" s="8">
        <v>38534</v>
      </c>
      <c r="F60" s="8">
        <v>35254</v>
      </c>
      <c r="G60" s="8">
        <v>157991</v>
      </c>
      <c r="H60" s="22">
        <f t="shared" si="0"/>
        <v>0.0131261315630657</v>
      </c>
      <c r="I60" s="5">
        <v>58</v>
      </c>
      <c r="J60" s="5">
        <v>45</v>
      </c>
      <c r="K60" s="5">
        <v>34</v>
      </c>
      <c r="L60" s="5">
        <v>29</v>
      </c>
      <c r="M60" s="5">
        <v>25</v>
      </c>
      <c r="N60" s="15"/>
      <c r="O60" s="15"/>
      <c r="P60" s="15"/>
      <c r="Q60" s="15"/>
      <c r="R60" s="15"/>
    </row>
    <row r="61" spans="1:18">
      <c r="A61" s="5">
        <v>57</v>
      </c>
      <c r="B61" s="5">
        <f>ROUND(A61*설정!$C$16/60,1)</f>
        <v>38</v>
      </c>
      <c r="C61" s="8">
        <v>20814</v>
      </c>
      <c r="D61" s="8">
        <v>26940</v>
      </c>
      <c r="E61" s="8">
        <v>38534</v>
      </c>
      <c r="F61" s="8">
        <v>36424</v>
      </c>
      <c r="G61" s="8">
        <v>157991</v>
      </c>
      <c r="H61" s="22">
        <f t="shared" si="0"/>
        <v>0.0332092330603126</v>
      </c>
      <c r="I61" s="5">
        <v>59</v>
      </c>
      <c r="J61" s="5">
        <v>46</v>
      </c>
      <c r="K61" s="5">
        <v>34</v>
      </c>
      <c r="L61" s="5">
        <v>29</v>
      </c>
      <c r="M61" s="5">
        <v>25</v>
      </c>
      <c r="N61" s="15"/>
      <c r="O61" s="15"/>
      <c r="P61" s="15"/>
      <c r="Q61" s="15"/>
      <c r="R61" s="15"/>
    </row>
    <row r="62" spans="1:18">
      <c r="A62" s="5">
        <v>58</v>
      </c>
      <c r="B62" s="5">
        <f>ROUND(A62*설정!$C$16/60,1)</f>
        <v>38.7</v>
      </c>
      <c r="C62" s="8">
        <v>21607</v>
      </c>
      <c r="D62" s="8">
        <v>27574</v>
      </c>
      <c r="E62" s="8">
        <v>38979</v>
      </c>
      <c r="F62" s="8">
        <v>37812</v>
      </c>
      <c r="G62" s="8">
        <v>163713</v>
      </c>
      <c r="H62" s="22">
        <f t="shared" si="0"/>
        <v>0.038099356202556</v>
      </c>
      <c r="I62" s="5">
        <v>59</v>
      </c>
      <c r="J62" s="5">
        <v>46</v>
      </c>
      <c r="K62" s="5">
        <v>34</v>
      </c>
      <c r="L62" s="5">
        <v>30</v>
      </c>
      <c r="M62" s="5">
        <v>25</v>
      </c>
      <c r="N62" s="15"/>
      <c r="O62" s="15"/>
      <c r="P62" s="15"/>
      <c r="Q62" s="15"/>
      <c r="R62" s="15"/>
    </row>
    <row r="63" spans="1:18">
      <c r="A63" s="5">
        <v>59</v>
      </c>
      <c r="B63" s="5">
        <f>ROUND(A63*설정!$C$16/60,1)</f>
        <v>39.3</v>
      </c>
      <c r="C63" s="8">
        <v>22007</v>
      </c>
      <c r="D63" s="8">
        <v>28402</v>
      </c>
      <c r="E63" s="8">
        <v>39177</v>
      </c>
      <c r="F63" s="8">
        <v>38512</v>
      </c>
      <c r="G63" s="8">
        <v>164541</v>
      </c>
      <c r="H63" s="22">
        <f t="shared" si="0"/>
        <v>0.0185125190910354</v>
      </c>
      <c r="I63" s="5">
        <v>59</v>
      </c>
      <c r="J63" s="5">
        <v>46</v>
      </c>
      <c r="K63" s="5">
        <v>34</v>
      </c>
      <c r="L63" s="5">
        <v>30</v>
      </c>
      <c r="M63" s="5">
        <v>26</v>
      </c>
      <c r="N63" s="15"/>
      <c r="O63" s="15"/>
      <c r="P63" s="15"/>
      <c r="Q63" s="15"/>
      <c r="R63" s="15"/>
    </row>
    <row r="64" spans="1:18">
      <c r="A64" s="5">
        <v>60</v>
      </c>
      <c r="B64" s="5">
        <f>ROUND(A64*설정!$C$16/60,1)</f>
        <v>40</v>
      </c>
      <c r="C64" s="8">
        <v>22007</v>
      </c>
      <c r="D64" s="8">
        <v>29066</v>
      </c>
      <c r="E64" s="8">
        <v>40025</v>
      </c>
      <c r="F64" s="8">
        <v>39612</v>
      </c>
      <c r="G64" s="8">
        <v>168103</v>
      </c>
      <c r="H64" s="22">
        <f t="shared" si="0"/>
        <v>0</v>
      </c>
      <c r="I64" s="5">
        <v>60</v>
      </c>
      <c r="J64" s="5">
        <v>46</v>
      </c>
      <c r="K64" s="5">
        <v>34</v>
      </c>
      <c r="L64" s="5">
        <v>30</v>
      </c>
      <c r="M64" s="5">
        <v>26</v>
      </c>
      <c r="N64" s="15"/>
      <c r="O64" s="15"/>
      <c r="P64" s="15"/>
      <c r="Q64" s="15"/>
      <c r="R64" s="15"/>
    </row>
    <row r="65" spans="1:18">
      <c r="A65" s="5">
        <v>61</v>
      </c>
      <c r="B65" s="5">
        <f>ROUND(A65*설정!$C$16/60,1)</f>
        <v>40.7</v>
      </c>
      <c r="C65" s="8">
        <v>22549</v>
      </c>
      <c r="D65" s="8">
        <v>29245</v>
      </c>
      <c r="E65" s="8">
        <v>41134</v>
      </c>
      <c r="F65" s="8">
        <v>40588</v>
      </c>
      <c r="G65" s="8">
        <v>172763</v>
      </c>
      <c r="H65" s="22">
        <f t="shared" si="0"/>
        <v>0.0246285272867723</v>
      </c>
      <c r="I65" s="5">
        <v>60</v>
      </c>
      <c r="J65" s="5">
        <v>47</v>
      </c>
      <c r="K65" s="5">
        <v>35</v>
      </c>
      <c r="L65" s="5">
        <v>30</v>
      </c>
      <c r="M65" s="5">
        <v>26</v>
      </c>
      <c r="N65" s="15"/>
      <c r="O65" s="15"/>
      <c r="P65" s="15"/>
      <c r="Q65" s="15"/>
      <c r="R65" s="15"/>
    </row>
    <row r="66" spans="1:18">
      <c r="A66" s="5">
        <v>62</v>
      </c>
      <c r="B66" s="5">
        <f>ROUND(A66*설정!$C$16/60,1)</f>
        <v>41.3</v>
      </c>
      <c r="C66" s="8">
        <v>23005</v>
      </c>
      <c r="D66" s="8">
        <v>29245</v>
      </c>
      <c r="E66" s="8">
        <v>41336</v>
      </c>
      <c r="F66" s="8">
        <v>41410</v>
      </c>
      <c r="G66" s="8">
        <v>173610</v>
      </c>
      <c r="H66" s="22">
        <f t="shared" si="0"/>
        <v>0.0202226262805445</v>
      </c>
      <c r="I66" s="5">
        <v>60</v>
      </c>
      <c r="J66" s="5">
        <v>47</v>
      </c>
      <c r="K66" s="5">
        <v>35</v>
      </c>
      <c r="L66" s="5">
        <v>31</v>
      </c>
      <c r="M66" s="5">
        <v>26</v>
      </c>
      <c r="N66" s="15"/>
      <c r="O66" s="15"/>
      <c r="P66" s="15"/>
      <c r="Q66" s="15"/>
      <c r="R66" s="15"/>
    </row>
    <row r="67" spans="1:18">
      <c r="A67" s="5">
        <v>63</v>
      </c>
      <c r="B67" s="5">
        <f>ROUND(A67*설정!$C$16/60,1)</f>
        <v>42</v>
      </c>
      <c r="C67" s="8">
        <v>23424</v>
      </c>
      <c r="D67" s="8">
        <v>30110</v>
      </c>
      <c r="E67" s="8">
        <v>42220</v>
      </c>
      <c r="F67" s="8">
        <v>42162</v>
      </c>
      <c r="G67" s="8">
        <v>177325</v>
      </c>
      <c r="H67" s="22">
        <f t="shared" si="0"/>
        <v>0.0182134318626386</v>
      </c>
      <c r="I67" s="5">
        <v>61</v>
      </c>
      <c r="J67" s="5">
        <v>48</v>
      </c>
      <c r="K67" s="5">
        <v>35</v>
      </c>
      <c r="L67" s="5">
        <v>31</v>
      </c>
      <c r="M67" s="5">
        <v>26</v>
      </c>
      <c r="N67" s="15"/>
      <c r="O67" s="15"/>
      <c r="P67" s="15"/>
      <c r="Q67" s="15"/>
      <c r="R67" s="15"/>
    </row>
    <row r="68" spans="1:18">
      <c r="A68" s="5">
        <v>64</v>
      </c>
      <c r="B68" s="5">
        <f>ROUND(A68*설정!$C$16/60,1)</f>
        <v>42.7</v>
      </c>
      <c r="C68" s="8">
        <v>24298</v>
      </c>
      <c r="D68" s="8">
        <v>30804</v>
      </c>
      <c r="E68" s="8">
        <v>42220</v>
      </c>
      <c r="F68" s="8">
        <v>43736</v>
      </c>
      <c r="G68" s="8">
        <v>177325</v>
      </c>
      <c r="H68" s="22">
        <f t="shared" si="0"/>
        <v>0.0373121584699454</v>
      </c>
      <c r="I68" s="5">
        <v>61</v>
      </c>
      <c r="J68" s="5">
        <v>48</v>
      </c>
      <c r="K68" s="5">
        <v>35</v>
      </c>
      <c r="L68" s="5">
        <v>31</v>
      </c>
      <c r="M68" s="5">
        <v>26</v>
      </c>
      <c r="N68" s="15"/>
      <c r="O68" s="15"/>
      <c r="P68" s="15"/>
      <c r="Q68" s="15"/>
      <c r="R68" s="15"/>
    </row>
    <row r="69" spans="1:18">
      <c r="A69" s="5">
        <v>65</v>
      </c>
      <c r="B69" s="5">
        <f>ROUND(A69*설정!$C$16/60,1)</f>
        <v>43.3</v>
      </c>
      <c r="C69" s="8">
        <v>24298</v>
      </c>
      <c r="D69" s="8">
        <v>31359</v>
      </c>
      <c r="E69" s="8">
        <v>42696</v>
      </c>
      <c r="F69" s="8">
        <v>43736</v>
      </c>
      <c r="G69" s="8">
        <v>183593</v>
      </c>
      <c r="H69" s="22">
        <f t="shared" si="0"/>
        <v>0</v>
      </c>
      <c r="I69" s="5">
        <v>61</v>
      </c>
      <c r="J69" s="5">
        <v>48</v>
      </c>
      <c r="K69" s="5">
        <v>35</v>
      </c>
      <c r="L69" s="5">
        <v>31</v>
      </c>
      <c r="M69" s="5">
        <v>27</v>
      </c>
      <c r="N69" s="15"/>
      <c r="O69" s="15"/>
      <c r="P69" s="15"/>
      <c r="Q69" s="15"/>
      <c r="R69" s="15"/>
    </row>
    <row r="70" spans="1:18">
      <c r="A70" s="5">
        <v>66</v>
      </c>
      <c r="B70" s="5">
        <f>ROUND(A70*설정!$C$16/60,1)</f>
        <v>44</v>
      </c>
      <c r="C70" s="8">
        <v>24298</v>
      </c>
      <c r="D70" s="8">
        <v>31359</v>
      </c>
      <c r="E70" s="8">
        <v>43374</v>
      </c>
      <c r="F70" s="8">
        <v>44951</v>
      </c>
      <c r="G70" s="8">
        <v>186507</v>
      </c>
      <c r="H70" s="22">
        <f t="shared" ref="H70:H133" si="1">IF(C69&gt;0,C70/C69-1,0)</f>
        <v>0</v>
      </c>
      <c r="I70" s="5">
        <v>62</v>
      </c>
      <c r="J70" s="5">
        <v>48</v>
      </c>
      <c r="K70" s="5">
        <v>36</v>
      </c>
      <c r="L70" s="5">
        <v>31</v>
      </c>
      <c r="M70" s="5">
        <v>27</v>
      </c>
      <c r="N70" s="15"/>
      <c r="O70" s="15"/>
      <c r="P70" s="15"/>
      <c r="Q70" s="15"/>
      <c r="R70" s="15"/>
    </row>
    <row r="71" spans="1:18">
      <c r="A71" s="5">
        <v>67</v>
      </c>
      <c r="B71" s="5">
        <f>ROUND(A71*설정!$C$16/60,1)</f>
        <v>44.7</v>
      </c>
      <c r="C71" s="8">
        <v>25054</v>
      </c>
      <c r="D71" s="8">
        <v>32073</v>
      </c>
      <c r="E71" s="8">
        <v>43374</v>
      </c>
      <c r="F71" s="8">
        <v>46350</v>
      </c>
      <c r="G71" s="8">
        <v>186507</v>
      </c>
      <c r="H71" s="22">
        <f t="shared" si="1"/>
        <v>0.0311136719071528</v>
      </c>
      <c r="I71" s="5">
        <v>62</v>
      </c>
      <c r="J71" s="5">
        <v>49</v>
      </c>
      <c r="K71" s="5">
        <v>36</v>
      </c>
      <c r="L71" s="5">
        <v>31</v>
      </c>
      <c r="M71" s="5">
        <v>27</v>
      </c>
      <c r="N71" s="15"/>
      <c r="O71" s="15"/>
      <c r="P71" s="15"/>
      <c r="Q71" s="15"/>
      <c r="R71" s="15"/>
    </row>
    <row r="72" spans="1:18">
      <c r="A72" s="5">
        <v>68</v>
      </c>
      <c r="B72" s="5">
        <f>ROUND(A72*설정!$C$16/60,1)</f>
        <v>45.3</v>
      </c>
      <c r="C72" s="8">
        <v>25369</v>
      </c>
      <c r="D72" s="8">
        <v>32617</v>
      </c>
      <c r="E72" s="8">
        <v>44502</v>
      </c>
      <c r="F72" s="8">
        <v>46932</v>
      </c>
      <c r="G72" s="8">
        <v>191359</v>
      </c>
      <c r="H72" s="22">
        <f t="shared" si="1"/>
        <v>0.0125728426598548</v>
      </c>
      <c r="I72" s="5">
        <v>62</v>
      </c>
      <c r="J72" s="5">
        <v>49</v>
      </c>
      <c r="K72" s="5">
        <v>36</v>
      </c>
      <c r="L72" s="5">
        <v>32</v>
      </c>
      <c r="M72" s="5">
        <v>27</v>
      </c>
      <c r="N72" s="15"/>
      <c r="O72" s="15"/>
      <c r="P72" s="15"/>
      <c r="Q72" s="15"/>
      <c r="R72" s="15"/>
    </row>
    <row r="73" spans="1:18">
      <c r="A73" s="5">
        <v>69</v>
      </c>
      <c r="B73" s="5">
        <f>ROUND(A73*설정!$C$16/60,1)</f>
        <v>46</v>
      </c>
      <c r="C73" s="8">
        <v>25822</v>
      </c>
      <c r="D73" s="8">
        <v>32617</v>
      </c>
      <c r="E73" s="8">
        <v>44998</v>
      </c>
      <c r="F73" s="8">
        <v>47770</v>
      </c>
      <c r="G73" s="8">
        <v>193490</v>
      </c>
      <c r="H73" s="22">
        <f t="shared" si="1"/>
        <v>0.0178564389609366</v>
      </c>
      <c r="I73" s="5">
        <v>63</v>
      </c>
      <c r="J73" s="5">
        <v>49</v>
      </c>
      <c r="K73" s="5">
        <v>36</v>
      </c>
      <c r="L73" s="5">
        <v>32</v>
      </c>
      <c r="M73" s="5">
        <v>27</v>
      </c>
      <c r="N73" s="15"/>
      <c r="O73" s="15"/>
      <c r="P73" s="15"/>
      <c r="Q73" s="15"/>
      <c r="R73" s="15"/>
    </row>
    <row r="74" spans="1:18">
      <c r="A74" s="5">
        <v>70</v>
      </c>
      <c r="B74" s="5">
        <f>ROUND(A74*설정!$C$16/60,1)</f>
        <v>46.7</v>
      </c>
      <c r="C74" s="8">
        <v>26437</v>
      </c>
      <c r="D74" s="8">
        <v>32617</v>
      </c>
      <c r="E74" s="8">
        <v>44998</v>
      </c>
      <c r="F74" s="8">
        <v>48908</v>
      </c>
      <c r="G74" s="8">
        <v>193490</v>
      </c>
      <c r="H74" s="22">
        <f t="shared" si="1"/>
        <v>0.0238169003175586</v>
      </c>
      <c r="I74" s="5">
        <v>63</v>
      </c>
      <c r="J74" s="5">
        <v>50</v>
      </c>
      <c r="K74" s="5">
        <v>36</v>
      </c>
      <c r="L74" s="5">
        <v>32</v>
      </c>
      <c r="M74" s="5">
        <v>27</v>
      </c>
      <c r="N74" s="15"/>
      <c r="O74" s="15"/>
      <c r="P74" s="15"/>
      <c r="Q74" s="15"/>
      <c r="R74" s="15"/>
    </row>
    <row r="75" spans="1:18">
      <c r="A75" s="5">
        <v>71</v>
      </c>
      <c r="B75" s="5">
        <f>ROUND(A75*설정!$C$16/60,1)</f>
        <v>47.3</v>
      </c>
      <c r="C75" s="8">
        <v>26766</v>
      </c>
      <c r="D75" s="8">
        <v>33751</v>
      </c>
      <c r="E75" s="8">
        <v>45944</v>
      </c>
      <c r="F75" s="8">
        <v>49517</v>
      </c>
      <c r="G75" s="8">
        <v>197557</v>
      </c>
      <c r="H75" s="22">
        <f t="shared" si="1"/>
        <v>0.012444679804819</v>
      </c>
      <c r="I75" s="5">
        <v>63</v>
      </c>
      <c r="J75" s="5">
        <v>50</v>
      </c>
      <c r="K75" s="5">
        <v>37</v>
      </c>
      <c r="L75" s="5">
        <v>32</v>
      </c>
      <c r="M75" s="5">
        <v>28</v>
      </c>
      <c r="N75" s="15"/>
      <c r="O75" s="15"/>
      <c r="P75" s="15"/>
      <c r="Q75" s="15"/>
      <c r="R75" s="15"/>
    </row>
    <row r="76" spans="1:18">
      <c r="A76" s="5">
        <v>72</v>
      </c>
      <c r="B76" s="5">
        <f>ROUND(A76*설정!$C$16/60,1)</f>
        <v>48</v>
      </c>
      <c r="C76" s="8">
        <v>26940</v>
      </c>
      <c r="D76" s="8">
        <v>33939</v>
      </c>
      <c r="E76" s="8">
        <v>45944</v>
      </c>
      <c r="F76" s="8">
        <v>51187</v>
      </c>
      <c r="G76" s="8">
        <v>202152</v>
      </c>
      <c r="H76" s="22">
        <f t="shared" si="1"/>
        <v>0.00650078457744896</v>
      </c>
      <c r="I76" s="5">
        <v>63</v>
      </c>
      <c r="J76" s="5">
        <v>50</v>
      </c>
      <c r="K76" s="5">
        <v>37</v>
      </c>
      <c r="L76" s="5">
        <v>32</v>
      </c>
      <c r="M76" s="5">
        <v>28</v>
      </c>
      <c r="N76" s="15"/>
      <c r="O76" s="15"/>
      <c r="P76" s="15"/>
      <c r="Q76" s="15"/>
      <c r="R76" s="15"/>
    </row>
    <row r="77" spans="1:18">
      <c r="A77" s="5">
        <v>73</v>
      </c>
      <c r="B77" s="5">
        <f>ROUND(A77*설정!$C$16/60,1)</f>
        <v>48.7</v>
      </c>
      <c r="C77" s="8">
        <v>26940</v>
      </c>
      <c r="D77" s="8">
        <v>34505</v>
      </c>
      <c r="E77" s="8">
        <v>45944</v>
      </c>
      <c r="F77" s="8">
        <v>51187</v>
      </c>
      <c r="G77" s="8">
        <v>202152</v>
      </c>
      <c r="H77" s="22">
        <f t="shared" si="1"/>
        <v>0</v>
      </c>
      <c r="I77" s="5">
        <v>64</v>
      </c>
      <c r="J77" s="5">
        <v>50</v>
      </c>
      <c r="K77" s="5">
        <v>37</v>
      </c>
      <c r="L77" s="5">
        <v>32</v>
      </c>
      <c r="M77" s="5">
        <v>28</v>
      </c>
      <c r="N77" s="15"/>
      <c r="O77" s="15"/>
      <c r="P77" s="15"/>
      <c r="Q77" s="15"/>
      <c r="R77" s="15"/>
    </row>
    <row r="78" spans="1:18">
      <c r="A78" s="5">
        <v>74</v>
      </c>
      <c r="B78" s="5">
        <f>ROUND(A78*설정!$C$16/60,1)</f>
        <v>49.3</v>
      </c>
      <c r="C78" s="8">
        <v>27574</v>
      </c>
      <c r="D78" s="8">
        <v>35275</v>
      </c>
      <c r="E78" s="8">
        <v>47177</v>
      </c>
      <c r="F78" s="8">
        <v>52390</v>
      </c>
      <c r="G78" s="8">
        <v>207580</v>
      </c>
      <c r="H78" s="22">
        <f t="shared" si="1"/>
        <v>0.0235337787676317</v>
      </c>
      <c r="I78" s="5">
        <v>64</v>
      </c>
      <c r="J78" s="5">
        <v>51</v>
      </c>
      <c r="K78" s="5">
        <v>37</v>
      </c>
      <c r="L78" s="5">
        <v>33</v>
      </c>
      <c r="M78" s="5">
        <v>28</v>
      </c>
      <c r="N78" s="15"/>
      <c r="O78" s="15"/>
      <c r="P78" s="15"/>
      <c r="Q78" s="15"/>
      <c r="R78" s="15"/>
    </row>
    <row r="79" spans="1:18">
      <c r="A79" s="5">
        <v>75</v>
      </c>
      <c r="B79" s="5">
        <f>ROUND(A79*설정!$C$16/60,1)</f>
        <v>50</v>
      </c>
      <c r="C79" s="8">
        <v>28402</v>
      </c>
      <c r="D79" s="8">
        <v>35690</v>
      </c>
      <c r="E79" s="8">
        <v>47388</v>
      </c>
      <c r="F79" s="8">
        <v>53965</v>
      </c>
      <c r="G79" s="8">
        <v>208508</v>
      </c>
      <c r="H79" s="22">
        <f t="shared" si="1"/>
        <v>0.0300282875172264</v>
      </c>
      <c r="I79" s="5">
        <v>64</v>
      </c>
      <c r="J79" s="5">
        <v>51</v>
      </c>
      <c r="K79" s="5">
        <v>37</v>
      </c>
      <c r="L79" s="5">
        <v>33</v>
      </c>
      <c r="M79" s="5">
        <v>28</v>
      </c>
      <c r="N79" s="15"/>
      <c r="O79" s="15"/>
      <c r="P79" s="15"/>
      <c r="Q79" s="15"/>
      <c r="R79" s="15"/>
    </row>
    <row r="80" spans="1:18">
      <c r="A80" s="5">
        <v>76</v>
      </c>
      <c r="B80" s="5">
        <f>ROUND(A80*설정!$C$16/60,1)</f>
        <v>50.7</v>
      </c>
      <c r="C80" s="8">
        <v>28402</v>
      </c>
      <c r="D80" s="8">
        <v>35690</v>
      </c>
      <c r="E80" s="8">
        <v>47388</v>
      </c>
      <c r="F80" s="8">
        <v>53965</v>
      </c>
      <c r="G80" s="8">
        <v>208508</v>
      </c>
      <c r="H80" s="22">
        <f t="shared" si="1"/>
        <v>0</v>
      </c>
      <c r="I80" s="5">
        <v>65</v>
      </c>
      <c r="J80" s="5">
        <v>51</v>
      </c>
      <c r="K80" s="5">
        <v>38</v>
      </c>
      <c r="L80" s="5">
        <v>33</v>
      </c>
      <c r="M80" s="5">
        <v>28</v>
      </c>
      <c r="N80" s="15"/>
      <c r="O80" s="15"/>
      <c r="P80" s="15"/>
      <c r="Q80" s="15"/>
      <c r="R80" s="15"/>
    </row>
    <row r="81" spans="1:18">
      <c r="A81" s="5">
        <v>77</v>
      </c>
      <c r="B81" s="5">
        <f>ROUND(A81*설정!$C$16/60,1)</f>
        <v>51.3</v>
      </c>
      <c r="C81" s="8">
        <v>29245</v>
      </c>
      <c r="D81" s="8">
        <v>35883</v>
      </c>
      <c r="E81" s="8">
        <v>48373</v>
      </c>
      <c r="F81" s="8">
        <v>55565</v>
      </c>
      <c r="G81" s="8">
        <v>212843</v>
      </c>
      <c r="H81" s="22">
        <f t="shared" si="1"/>
        <v>0.0296810083796917</v>
      </c>
      <c r="I81" s="5">
        <v>65</v>
      </c>
      <c r="J81" s="5">
        <v>51</v>
      </c>
      <c r="K81" s="5">
        <v>38</v>
      </c>
      <c r="L81" s="5">
        <v>33</v>
      </c>
      <c r="M81" s="5">
        <v>28</v>
      </c>
      <c r="N81" s="15"/>
      <c r="O81" s="15"/>
      <c r="P81" s="15"/>
      <c r="Q81" s="15"/>
      <c r="R81" s="15"/>
    </row>
    <row r="82" spans="1:18">
      <c r="A82" s="5">
        <v>78</v>
      </c>
      <c r="B82" s="5">
        <f>ROUND(A82*설정!$C$16/60,1)</f>
        <v>52</v>
      </c>
      <c r="C82" s="8">
        <v>29245</v>
      </c>
      <c r="D82" s="8">
        <v>35883</v>
      </c>
      <c r="E82" s="8">
        <v>49118</v>
      </c>
      <c r="F82" s="8">
        <v>55565</v>
      </c>
      <c r="G82" s="8">
        <v>216118</v>
      </c>
      <c r="H82" s="22">
        <f t="shared" si="1"/>
        <v>0</v>
      </c>
      <c r="I82" s="5">
        <v>65</v>
      </c>
      <c r="J82" s="5">
        <v>51</v>
      </c>
      <c r="K82" s="5">
        <v>38</v>
      </c>
      <c r="L82" s="5">
        <v>33</v>
      </c>
      <c r="M82" s="5">
        <v>29</v>
      </c>
      <c r="N82" s="15"/>
      <c r="O82" s="15"/>
      <c r="P82" s="15"/>
      <c r="Q82" s="15"/>
      <c r="R82" s="15"/>
    </row>
    <row r="83" spans="1:18">
      <c r="A83" s="5">
        <v>79</v>
      </c>
      <c r="B83" s="5">
        <f>ROUND(A83*설정!$C$16/60,1)</f>
        <v>52.7</v>
      </c>
      <c r="C83" s="8">
        <v>29245</v>
      </c>
      <c r="D83" s="8">
        <v>36674</v>
      </c>
      <c r="E83" s="8">
        <v>49118</v>
      </c>
      <c r="F83" s="8">
        <v>57028</v>
      </c>
      <c r="G83" s="8">
        <v>216118</v>
      </c>
      <c r="H83" s="22">
        <f t="shared" si="1"/>
        <v>0</v>
      </c>
      <c r="I83" s="5">
        <v>65</v>
      </c>
      <c r="J83" s="5">
        <v>51</v>
      </c>
      <c r="K83" s="5">
        <v>38</v>
      </c>
      <c r="L83" s="5">
        <v>34</v>
      </c>
      <c r="M83" s="5">
        <v>29</v>
      </c>
      <c r="N83" s="15"/>
      <c r="O83" s="15"/>
      <c r="P83" s="15"/>
      <c r="Q83" s="15"/>
      <c r="R83" s="15"/>
    </row>
    <row r="84" spans="1:18">
      <c r="A84" s="5">
        <v>80</v>
      </c>
      <c r="B84" s="5">
        <f>ROUND(A84*설정!$C$16/60,1)</f>
        <v>53.3</v>
      </c>
      <c r="C84" s="8">
        <v>29749</v>
      </c>
      <c r="D84" s="8">
        <v>37100</v>
      </c>
      <c r="E84" s="8">
        <v>49118</v>
      </c>
      <c r="F84" s="8">
        <v>58011</v>
      </c>
      <c r="G84" s="8">
        <v>221029</v>
      </c>
      <c r="H84" s="22">
        <f t="shared" si="1"/>
        <v>0.0172337151649855</v>
      </c>
      <c r="I84" s="5">
        <v>65</v>
      </c>
      <c r="J84" s="5">
        <v>52</v>
      </c>
      <c r="K84" s="5">
        <v>38</v>
      </c>
      <c r="L84" s="5">
        <v>34</v>
      </c>
      <c r="M84" s="5">
        <v>29</v>
      </c>
      <c r="N84" s="15"/>
      <c r="O84" s="15"/>
      <c r="P84" s="15"/>
      <c r="Q84" s="15"/>
      <c r="R84" s="15"/>
    </row>
    <row r="85" spans="1:18">
      <c r="A85" s="5">
        <v>81</v>
      </c>
      <c r="B85" s="5">
        <f>ROUND(A85*설정!$C$16/60,1)</f>
        <v>54</v>
      </c>
      <c r="C85" s="8">
        <v>30110</v>
      </c>
      <c r="D85" s="8">
        <v>37709</v>
      </c>
      <c r="E85" s="8">
        <v>49654</v>
      </c>
      <c r="F85" s="8">
        <v>58714</v>
      </c>
      <c r="G85" s="8">
        <v>223444</v>
      </c>
      <c r="H85" s="22">
        <f t="shared" si="1"/>
        <v>0.0121348616760226</v>
      </c>
      <c r="I85" s="5">
        <v>66</v>
      </c>
      <c r="J85" s="5">
        <v>52</v>
      </c>
      <c r="K85" s="5">
        <v>38</v>
      </c>
      <c r="L85" s="5">
        <v>34</v>
      </c>
      <c r="M85" s="5">
        <v>29</v>
      </c>
      <c r="N85" s="15"/>
      <c r="O85" s="15"/>
      <c r="P85" s="15"/>
      <c r="Q85" s="15"/>
      <c r="R85" s="15"/>
    </row>
    <row r="86" spans="1:18">
      <c r="A86" s="5">
        <v>82</v>
      </c>
      <c r="B86" s="5">
        <f>ROUND(A86*설정!$C$16/60,1)</f>
        <v>54.7</v>
      </c>
      <c r="C86" s="8">
        <v>30804</v>
      </c>
      <c r="D86" s="8">
        <v>37709</v>
      </c>
      <c r="E86" s="8">
        <v>49654</v>
      </c>
      <c r="F86" s="8">
        <v>60069</v>
      </c>
      <c r="G86" s="8">
        <v>223444</v>
      </c>
      <c r="H86" s="22">
        <f t="shared" si="1"/>
        <v>0.0230488209897044</v>
      </c>
      <c r="I86" s="5">
        <v>66</v>
      </c>
      <c r="J86" s="5">
        <v>52</v>
      </c>
      <c r="K86" s="5">
        <v>39</v>
      </c>
      <c r="L86" s="5">
        <v>34</v>
      </c>
      <c r="M86" s="5">
        <v>29</v>
      </c>
      <c r="N86" s="15"/>
      <c r="O86" s="15"/>
      <c r="P86" s="15"/>
      <c r="Q86" s="15"/>
      <c r="R86" s="15"/>
    </row>
    <row r="87" spans="1:18">
      <c r="A87" s="5">
        <v>83</v>
      </c>
      <c r="B87" s="5">
        <f>ROUND(A87*설정!$C$16/60,1)</f>
        <v>55.3</v>
      </c>
      <c r="C87" s="8">
        <v>30988</v>
      </c>
      <c r="D87" s="8">
        <v>38534</v>
      </c>
      <c r="E87" s="8">
        <v>50895</v>
      </c>
      <c r="F87" s="8">
        <v>60426</v>
      </c>
      <c r="G87" s="8">
        <v>229030</v>
      </c>
      <c r="H87" s="22">
        <f t="shared" si="1"/>
        <v>0.00597325022724315</v>
      </c>
      <c r="I87" s="5">
        <v>66</v>
      </c>
      <c r="J87" s="5">
        <v>53</v>
      </c>
      <c r="K87" s="5">
        <v>39</v>
      </c>
      <c r="L87" s="5">
        <v>34</v>
      </c>
      <c r="M87" s="5">
        <v>29</v>
      </c>
      <c r="N87" s="15"/>
      <c r="O87" s="15"/>
      <c r="P87" s="15"/>
      <c r="Q87" s="15"/>
      <c r="R87" s="15"/>
    </row>
    <row r="88" spans="1:18">
      <c r="A88" s="5">
        <v>84</v>
      </c>
      <c r="B88" s="5">
        <f>ROUND(A88*설정!$C$16/60,1)</f>
        <v>56</v>
      </c>
      <c r="C88" s="8">
        <v>31359</v>
      </c>
      <c r="D88" s="8">
        <v>38534</v>
      </c>
      <c r="E88" s="8">
        <v>50895</v>
      </c>
      <c r="F88" s="8">
        <v>61149</v>
      </c>
      <c r="G88" s="8">
        <v>229030</v>
      </c>
      <c r="H88" s="22">
        <f t="shared" si="1"/>
        <v>0.0119723764037691</v>
      </c>
      <c r="I88" s="5">
        <v>67</v>
      </c>
      <c r="J88" s="5">
        <v>53</v>
      </c>
      <c r="K88" s="5">
        <v>39</v>
      </c>
      <c r="L88" s="5">
        <v>34</v>
      </c>
      <c r="M88" s="5">
        <v>29</v>
      </c>
      <c r="N88" s="15"/>
      <c r="O88" s="15"/>
      <c r="P88" s="15"/>
      <c r="Q88" s="15"/>
      <c r="R88" s="15"/>
    </row>
    <row r="89" spans="1:18">
      <c r="A89" s="5">
        <v>85</v>
      </c>
      <c r="B89" s="5">
        <f>ROUND(A89*설정!$C$16/60,1)</f>
        <v>56.7</v>
      </c>
      <c r="C89" s="8">
        <v>32073</v>
      </c>
      <c r="D89" s="8">
        <v>38534</v>
      </c>
      <c r="E89" s="8">
        <v>51933</v>
      </c>
      <c r="F89" s="8">
        <v>62542</v>
      </c>
      <c r="G89" s="8">
        <v>233700</v>
      </c>
      <c r="H89" s="22">
        <f t="shared" si="1"/>
        <v>0.0227685831818616</v>
      </c>
      <c r="I89" s="5">
        <v>67</v>
      </c>
      <c r="J89" s="5">
        <v>53</v>
      </c>
      <c r="K89" s="5">
        <v>39</v>
      </c>
      <c r="L89" s="5">
        <v>34</v>
      </c>
      <c r="M89" s="5">
        <v>29</v>
      </c>
      <c r="N89" s="15"/>
      <c r="O89" s="15"/>
      <c r="P89" s="15"/>
      <c r="Q89" s="15"/>
      <c r="R89" s="15"/>
    </row>
    <row r="90" spans="1:18">
      <c r="A90" s="5">
        <v>86</v>
      </c>
      <c r="B90" s="5">
        <f>ROUND(A90*설정!$C$16/60,1)</f>
        <v>57.3</v>
      </c>
      <c r="C90" s="8">
        <v>32073</v>
      </c>
      <c r="D90" s="8">
        <v>39177</v>
      </c>
      <c r="E90" s="8">
        <v>52496</v>
      </c>
      <c r="F90" s="8">
        <v>62542</v>
      </c>
      <c r="G90" s="8">
        <v>236232</v>
      </c>
      <c r="H90" s="22">
        <f t="shared" si="1"/>
        <v>0</v>
      </c>
      <c r="I90" s="5">
        <v>67</v>
      </c>
      <c r="J90" s="5">
        <v>53</v>
      </c>
      <c r="K90" s="5">
        <v>39</v>
      </c>
      <c r="L90" s="5">
        <v>35</v>
      </c>
      <c r="M90" s="5">
        <v>29</v>
      </c>
      <c r="N90" s="15"/>
      <c r="O90" s="15"/>
      <c r="P90" s="15"/>
      <c r="Q90" s="15"/>
      <c r="R90" s="15"/>
    </row>
    <row r="91" spans="1:18">
      <c r="A91" s="5">
        <v>87</v>
      </c>
      <c r="B91" s="5">
        <f>ROUND(A91*설정!$C$16/60,1)</f>
        <v>58</v>
      </c>
      <c r="C91" s="8">
        <v>32617</v>
      </c>
      <c r="D91" s="8">
        <v>39177</v>
      </c>
      <c r="E91" s="8">
        <v>52496</v>
      </c>
      <c r="F91" s="8">
        <v>63603</v>
      </c>
      <c r="G91" s="8">
        <v>236232</v>
      </c>
      <c r="H91" s="22">
        <f t="shared" si="1"/>
        <v>0.0169613070183643</v>
      </c>
      <c r="I91" s="5">
        <v>67</v>
      </c>
      <c r="J91" s="5">
        <v>53</v>
      </c>
      <c r="K91" s="5">
        <v>39</v>
      </c>
      <c r="L91" s="5">
        <v>35</v>
      </c>
      <c r="M91" s="5">
        <v>30</v>
      </c>
      <c r="N91" s="15"/>
      <c r="O91" s="15"/>
      <c r="P91" s="15"/>
      <c r="Q91" s="15"/>
      <c r="R91" s="15"/>
    </row>
    <row r="92" spans="1:18">
      <c r="A92" s="5">
        <v>88</v>
      </c>
      <c r="B92" s="5">
        <f>ROUND(A92*설정!$C$16/60,1)</f>
        <v>58.7</v>
      </c>
      <c r="C92" s="8">
        <v>32617</v>
      </c>
      <c r="D92" s="8">
        <v>40025</v>
      </c>
      <c r="E92" s="8">
        <v>53291</v>
      </c>
      <c r="F92" s="8">
        <v>65233</v>
      </c>
      <c r="G92" s="8">
        <v>239812</v>
      </c>
      <c r="H92" s="22">
        <f t="shared" si="1"/>
        <v>0</v>
      </c>
      <c r="I92" s="5">
        <v>67</v>
      </c>
      <c r="J92" s="5">
        <v>53</v>
      </c>
      <c r="K92" s="5">
        <v>39</v>
      </c>
      <c r="L92" s="5">
        <v>35</v>
      </c>
      <c r="M92" s="5">
        <v>30</v>
      </c>
      <c r="N92" s="15"/>
      <c r="O92" s="15"/>
      <c r="P92" s="15"/>
      <c r="Q92" s="15"/>
      <c r="R92" s="15"/>
    </row>
    <row r="93" spans="1:18">
      <c r="A93" s="5">
        <v>89</v>
      </c>
      <c r="B93" s="5">
        <f>ROUND(A93*설정!$C$16/60,1)</f>
        <v>59.3</v>
      </c>
      <c r="C93" s="8">
        <v>32617</v>
      </c>
      <c r="D93" s="8">
        <v>40670</v>
      </c>
      <c r="E93" s="8">
        <v>53291</v>
      </c>
      <c r="F93" s="8">
        <v>65233</v>
      </c>
      <c r="G93" s="8">
        <v>239812</v>
      </c>
      <c r="H93" s="22">
        <f t="shared" si="1"/>
        <v>0</v>
      </c>
      <c r="I93" s="5">
        <v>68</v>
      </c>
      <c r="J93" s="5">
        <v>53</v>
      </c>
      <c r="K93" s="5">
        <v>39</v>
      </c>
      <c r="L93" s="5">
        <v>35</v>
      </c>
      <c r="M93" s="5">
        <v>30</v>
      </c>
      <c r="N93" s="15"/>
      <c r="O93" s="15"/>
      <c r="P93" s="15"/>
      <c r="Q93" s="15"/>
      <c r="R93" s="15"/>
    </row>
    <row r="94" spans="1:18">
      <c r="A94" s="5">
        <v>90</v>
      </c>
      <c r="B94" s="5">
        <f>ROUND(A94*설정!$C$16/60,1)</f>
        <v>60</v>
      </c>
      <c r="C94" s="8">
        <v>33353</v>
      </c>
      <c r="D94" s="8">
        <v>41134</v>
      </c>
      <c r="E94" s="8">
        <v>53291</v>
      </c>
      <c r="F94" s="8">
        <v>66706</v>
      </c>
      <c r="G94" s="8">
        <v>239812</v>
      </c>
      <c r="H94" s="22">
        <f t="shared" si="1"/>
        <v>0.0225649201336726</v>
      </c>
      <c r="I94" s="5">
        <v>68</v>
      </c>
      <c r="J94" s="5">
        <v>54</v>
      </c>
      <c r="K94" s="5">
        <v>39</v>
      </c>
      <c r="L94" s="5">
        <v>35</v>
      </c>
      <c r="M94" s="5">
        <v>30</v>
      </c>
      <c r="N94" s="15"/>
      <c r="O94" s="15"/>
      <c r="P94" s="15"/>
      <c r="Q94" s="15"/>
      <c r="R94" s="15"/>
    </row>
    <row r="95" spans="1:18">
      <c r="A95" s="5">
        <v>91</v>
      </c>
      <c r="B95" s="5">
        <f>ROUND(A95*설정!$C$16/60,1)</f>
        <v>60.7</v>
      </c>
      <c r="C95" s="8">
        <v>33751</v>
      </c>
      <c r="D95" s="8">
        <v>41336</v>
      </c>
      <c r="E95" s="8">
        <v>53512</v>
      </c>
      <c r="F95" s="8">
        <v>67502</v>
      </c>
      <c r="G95" s="8">
        <v>246155</v>
      </c>
      <c r="H95" s="22">
        <f t="shared" si="1"/>
        <v>0.0119329595538633</v>
      </c>
      <c r="I95" s="5">
        <v>68</v>
      </c>
      <c r="J95" s="5">
        <v>54</v>
      </c>
      <c r="K95" s="5">
        <v>40</v>
      </c>
      <c r="L95" s="5">
        <v>35</v>
      </c>
      <c r="M95" s="5">
        <v>30</v>
      </c>
      <c r="N95" s="15"/>
      <c r="O95" s="15"/>
      <c r="P95" s="15"/>
      <c r="Q95" s="15"/>
      <c r="R95" s="15"/>
    </row>
    <row r="96" spans="1:18">
      <c r="A96" s="5">
        <v>92</v>
      </c>
      <c r="B96" s="5">
        <f>ROUND(A96*설정!$C$16/60,1)</f>
        <v>61.3</v>
      </c>
      <c r="C96" s="8">
        <v>33939</v>
      </c>
      <c r="D96" s="8">
        <v>41336</v>
      </c>
      <c r="E96" s="8">
        <v>53512</v>
      </c>
      <c r="F96" s="8">
        <v>67878</v>
      </c>
      <c r="G96" s="8">
        <v>246155</v>
      </c>
      <c r="H96" s="22">
        <f t="shared" si="1"/>
        <v>0.0055702053272495</v>
      </c>
      <c r="I96" s="5">
        <v>68</v>
      </c>
      <c r="J96" s="5">
        <v>54</v>
      </c>
      <c r="K96" s="5">
        <v>40</v>
      </c>
      <c r="L96" s="5">
        <v>36</v>
      </c>
      <c r="M96" s="5">
        <v>30</v>
      </c>
      <c r="N96" s="15"/>
      <c r="O96" s="15"/>
      <c r="P96" s="15"/>
      <c r="Q96" s="15"/>
      <c r="R96" s="15"/>
    </row>
    <row r="97" spans="1:18">
      <c r="A97" s="5">
        <v>93</v>
      </c>
      <c r="B97" s="5">
        <f>ROUND(A97*설정!$C$16/60,1)</f>
        <v>62</v>
      </c>
      <c r="C97" s="8">
        <v>34505</v>
      </c>
      <c r="D97" s="8">
        <v>42220</v>
      </c>
      <c r="E97" s="8">
        <v>54591</v>
      </c>
      <c r="F97" s="8">
        <v>69010</v>
      </c>
      <c r="G97" s="8">
        <v>251121</v>
      </c>
      <c r="H97" s="22">
        <f t="shared" si="1"/>
        <v>0.0166769792863668</v>
      </c>
      <c r="I97" s="5">
        <v>68</v>
      </c>
      <c r="J97" s="5">
        <v>54</v>
      </c>
      <c r="K97" s="5">
        <v>40</v>
      </c>
      <c r="L97" s="5">
        <v>36</v>
      </c>
      <c r="M97" s="5">
        <v>30</v>
      </c>
      <c r="N97" s="15"/>
      <c r="O97" s="15"/>
      <c r="P97" s="15"/>
      <c r="Q97" s="15"/>
      <c r="R97" s="15"/>
    </row>
    <row r="98" spans="1:18">
      <c r="A98" s="5">
        <v>94</v>
      </c>
      <c r="B98" s="5">
        <f>ROUND(A98*설정!$C$16/60,1)</f>
        <v>62.7</v>
      </c>
      <c r="C98" s="8">
        <v>34505</v>
      </c>
      <c r="D98" s="8">
        <v>42220</v>
      </c>
      <c r="E98" s="8">
        <v>55176</v>
      </c>
      <c r="F98" s="8">
        <v>69010</v>
      </c>
      <c r="G98" s="8">
        <v>253811</v>
      </c>
      <c r="H98" s="22">
        <f t="shared" si="1"/>
        <v>0</v>
      </c>
      <c r="I98" s="5">
        <v>69</v>
      </c>
      <c r="J98" s="5">
        <v>54</v>
      </c>
      <c r="K98" s="5">
        <v>40</v>
      </c>
      <c r="L98" s="5">
        <v>36</v>
      </c>
      <c r="M98" s="5">
        <v>30</v>
      </c>
      <c r="N98" s="15"/>
      <c r="O98" s="15"/>
      <c r="P98" s="15"/>
      <c r="Q98" s="15"/>
      <c r="R98" s="15"/>
    </row>
    <row r="99" spans="1:18">
      <c r="A99" s="5">
        <v>95</v>
      </c>
      <c r="B99" s="5">
        <f>ROUND(A99*설정!$C$16/60,1)</f>
        <v>63.3</v>
      </c>
      <c r="C99" s="8">
        <v>35275</v>
      </c>
      <c r="D99" s="8">
        <v>42220</v>
      </c>
      <c r="E99" s="8">
        <v>55176</v>
      </c>
      <c r="F99" s="8">
        <v>70549</v>
      </c>
      <c r="G99" s="8">
        <v>253811</v>
      </c>
      <c r="H99" s="22">
        <f t="shared" si="1"/>
        <v>0.0223156064338501</v>
      </c>
      <c r="I99" s="5">
        <v>69</v>
      </c>
      <c r="J99" s="5">
        <v>55</v>
      </c>
      <c r="K99" s="5">
        <v>40</v>
      </c>
      <c r="L99" s="5">
        <v>36</v>
      </c>
      <c r="M99" s="5">
        <v>30</v>
      </c>
      <c r="N99" s="15"/>
      <c r="O99" s="15"/>
      <c r="P99" s="15"/>
      <c r="Q99" s="15"/>
      <c r="R99" s="15"/>
    </row>
    <row r="100" spans="1:18">
      <c r="A100" s="5">
        <v>96</v>
      </c>
      <c r="B100" s="5">
        <f>ROUND(A100*설정!$C$16/60,1)</f>
        <v>64</v>
      </c>
      <c r="C100" s="8">
        <v>35690</v>
      </c>
      <c r="D100" s="8">
        <v>42220</v>
      </c>
      <c r="E100" s="8">
        <v>55176</v>
      </c>
      <c r="F100" s="8">
        <v>71380</v>
      </c>
      <c r="G100" s="8">
        <v>253811</v>
      </c>
      <c r="H100" s="22">
        <f t="shared" si="1"/>
        <v>0.0117647058823529</v>
      </c>
      <c r="I100" s="5">
        <v>69</v>
      </c>
      <c r="J100" s="5">
        <v>55</v>
      </c>
      <c r="K100" s="5">
        <v>40</v>
      </c>
      <c r="L100" s="5">
        <v>36</v>
      </c>
      <c r="M100" s="5">
        <v>30</v>
      </c>
      <c r="N100" s="15"/>
      <c r="O100" s="15"/>
      <c r="P100" s="15"/>
      <c r="Q100" s="15"/>
      <c r="R100" s="15"/>
    </row>
    <row r="101" spans="1:18">
      <c r="A101" s="5">
        <v>97</v>
      </c>
      <c r="B101" s="5">
        <f>ROUND(A101*설정!$C$16/60,1)</f>
        <v>64.7</v>
      </c>
      <c r="C101" s="8">
        <v>35690</v>
      </c>
      <c r="D101" s="8">
        <v>42696</v>
      </c>
      <c r="E101" s="8">
        <v>56282</v>
      </c>
      <c r="F101" s="8">
        <v>71380</v>
      </c>
      <c r="G101" s="8">
        <v>258899</v>
      </c>
      <c r="H101" s="22">
        <f t="shared" si="1"/>
        <v>0</v>
      </c>
      <c r="I101" s="5">
        <v>69</v>
      </c>
      <c r="J101" s="5">
        <v>55</v>
      </c>
      <c r="K101" s="5">
        <v>40</v>
      </c>
      <c r="L101" s="5">
        <v>36</v>
      </c>
      <c r="M101" s="5">
        <v>31</v>
      </c>
      <c r="N101" s="15"/>
      <c r="O101" s="15"/>
      <c r="P101" s="15"/>
      <c r="Q101" s="15"/>
      <c r="R101" s="15"/>
    </row>
    <row r="102" spans="1:18">
      <c r="A102" s="5">
        <v>98</v>
      </c>
      <c r="B102" s="5">
        <f>ROUND(A102*설정!$C$16/60,1)</f>
        <v>65.3</v>
      </c>
      <c r="C102" s="8">
        <v>35690</v>
      </c>
      <c r="D102" s="8">
        <v>43374</v>
      </c>
      <c r="E102" s="8">
        <v>56282</v>
      </c>
      <c r="F102" s="8">
        <v>73165</v>
      </c>
      <c r="G102" s="8">
        <v>258899</v>
      </c>
      <c r="H102" s="22">
        <f t="shared" si="1"/>
        <v>0</v>
      </c>
      <c r="I102" s="5">
        <v>69</v>
      </c>
      <c r="J102" s="5">
        <v>55</v>
      </c>
      <c r="K102" s="5">
        <v>41</v>
      </c>
      <c r="L102" s="5">
        <v>36</v>
      </c>
      <c r="M102" s="5">
        <v>31</v>
      </c>
      <c r="N102" s="15"/>
      <c r="O102" s="15"/>
      <c r="P102" s="15"/>
      <c r="Q102" s="15"/>
      <c r="R102" s="15"/>
    </row>
    <row r="103" spans="1:18">
      <c r="A103" s="5">
        <v>99</v>
      </c>
      <c r="B103" s="5">
        <f>ROUND(A103*설정!$C$16/60,1)</f>
        <v>66</v>
      </c>
      <c r="C103" s="8">
        <v>35883</v>
      </c>
      <c r="D103" s="8">
        <v>43374</v>
      </c>
      <c r="E103" s="8">
        <v>57122</v>
      </c>
      <c r="F103" s="8">
        <v>73560</v>
      </c>
      <c r="G103" s="8">
        <v>262763</v>
      </c>
      <c r="H103" s="22">
        <f t="shared" si="1"/>
        <v>0.00540767722051005</v>
      </c>
      <c r="I103" s="5">
        <v>69</v>
      </c>
      <c r="J103" s="5">
        <v>55</v>
      </c>
      <c r="K103" s="5">
        <v>41</v>
      </c>
      <c r="L103" s="5">
        <v>36</v>
      </c>
      <c r="M103" s="5">
        <v>31</v>
      </c>
      <c r="N103" s="15"/>
      <c r="O103" s="15"/>
      <c r="P103" s="15"/>
      <c r="Q103" s="15"/>
      <c r="R103" s="15"/>
    </row>
    <row r="104" spans="1:18">
      <c r="A104" s="5">
        <v>100</v>
      </c>
      <c r="B104" s="5">
        <f>ROUND(A104*설정!$C$16/60,1)</f>
        <v>66.7</v>
      </c>
      <c r="C104" s="8">
        <v>35883</v>
      </c>
      <c r="D104" s="8">
        <v>44296</v>
      </c>
      <c r="E104" s="8">
        <v>57730</v>
      </c>
      <c r="F104" s="8">
        <v>73560</v>
      </c>
      <c r="G104" s="8">
        <v>265557</v>
      </c>
      <c r="H104" s="22">
        <f t="shared" si="1"/>
        <v>0</v>
      </c>
      <c r="I104" s="5">
        <v>70</v>
      </c>
      <c r="J104" s="5">
        <v>55</v>
      </c>
      <c r="K104" s="5">
        <v>41</v>
      </c>
      <c r="L104" s="5">
        <v>36</v>
      </c>
      <c r="M104" s="5">
        <v>31</v>
      </c>
      <c r="N104" s="15"/>
      <c r="O104" s="15"/>
      <c r="P104" s="15"/>
      <c r="Q104" s="15"/>
      <c r="R104" s="15"/>
    </row>
    <row r="105" spans="1:18">
      <c r="A105" s="5">
        <v>101</v>
      </c>
      <c r="B105" s="5">
        <f>ROUND(A105*설정!$C$16/60,1)</f>
        <v>67.3</v>
      </c>
      <c r="C105" s="8">
        <v>36674</v>
      </c>
      <c r="D105" s="8">
        <v>44502</v>
      </c>
      <c r="E105" s="8">
        <v>57955</v>
      </c>
      <c r="F105" s="8">
        <v>75181</v>
      </c>
      <c r="G105" s="8">
        <v>266593</v>
      </c>
      <c r="H105" s="22">
        <f t="shared" si="1"/>
        <v>0.0220438647827663</v>
      </c>
      <c r="I105" s="5">
        <v>70</v>
      </c>
      <c r="J105" s="5">
        <v>56</v>
      </c>
      <c r="K105" s="5">
        <v>41</v>
      </c>
      <c r="L105" s="5">
        <v>36</v>
      </c>
      <c r="M105" s="5">
        <v>31</v>
      </c>
      <c r="N105" s="15"/>
      <c r="O105" s="15"/>
      <c r="P105" s="15"/>
      <c r="Q105" s="15"/>
      <c r="R105" s="15"/>
    </row>
    <row r="106" spans="1:18">
      <c r="A106" s="5">
        <v>102</v>
      </c>
      <c r="B106" s="5">
        <f>ROUND(A106*설정!$C$16/60,1)</f>
        <v>68</v>
      </c>
      <c r="C106" s="8">
        <v>37100</v>
      </c>
      <c r="D106" s="8">
        <v>44998</v>
      </c>
      <c r="E106" s="8">
        <v>57955</v>
      </c>
      <c r="F106" s="8">
        <v>76056</v>
      </c>
      <c r="G106" s="8">
        <v>266593</v>
      </c>
      <c r="H106" s="22">
        <f t="shared" si="1"/>
        <v>0.0116158586464525</v>
      </c>
      <c r="I106" s="5">
        <v>70</v>
      </c>
      <c r="J106" s="5">
        <v>56</v>
      </c>
      <c r="K106" s="5">
        <v>41</v>
      </c>
      <c r="L106" s="5">
        <v>36</v>
      </c>
      <c r="M106" s="5">
        <v>31</v>
      </c>
      <c r="N106" s="15"/>
      <c r="O106" s="15"/>
      <c r="P106" s="15"/>
      <c r="Q106" s="15"/>
      <c r="R106" s="15"/>
    </row>
    <row r="107" spans="1:18">
      <c r="A107" s="5">
        <v>103</v>
      </c>
      <c r="B107" s="5">
        <f>ROUND(A107*설정!$C$16/60,1)</f>
        <v>68.7</v>
      </c>
      <c r="C107" s="8">
        <v>37100</v>
      </c>
      <c r="D107" s="8">
        <v>44998</v>
      </c>
      <c r="E107" s="8">
        <v>57955</v>
      </c>
      <c r="F107" s="8">
        <v>76056</v>
      </c>
      <c r="G107" s="8">
        <v>272389</v>
      </c>
      <c r="H107" s="22">
        <f t="shared" si="1"/>
        <v>0</v>
      </c>
      <c r="I107" s="5">
        <v>70</v>
      </c>
      <c r="J107" s="5">
        <v>56</v>
      </c>
      <c r="K107" s="5">
        <v>41</v>
      </c>
      <c r="L107" s="5">
        <v>37</v>
      </c>
      <c r="M107" s="5">
        <v>31</v>
      </c>
      <c r="N107" s="15"/>
      <c r="O107" s="15"/>
      <c r="P107" s="15"/>
      <c r="Q107" s="15"/>
      <c r="R107" s="15"/>
    </row>
    <row r="108" spans="1:18">
      <c r="A108" s="5">
        <v>104</v>
      </c>
      <c r="B108" s="5">
        <f>ROUND(A108*설정!$C$16/60,1)</f>
        <v>69.3</v>
      </c>
      <c r="C108" s="8">
        <v>37709</v>
      </c>
      <c r="D108" s="8">
        <v>44998</v>
      </c>
      <c r="E108" s="8">
        <v>57955</v>
      </c>
      <c r="F108" s="8">
        <v>77303</v>
      </c>
      <c r="G108" s="8">
        <v>272389</v>
      </c>
      <c r="H108" s="22">
        <f t="shared" si="1"/>
        <v>0.0164150943396226</v>
      </c>
      <c r="I108" s="5">
        <v>70</v>
      </c>
      <c r="J108" s="5">
        <v>56</v>
      </c>
      <c r="K108" s="5">
        <v>41</v>
      </c>
      <c r="L108" s="5">
        <v>37</v>
      </c>
      <c r="M108" s="5">
        <v>31</v>
      </c>
      <c r="N108" s="15"/>
      <c r="O108" s="15"/>
      <c r="P108" s="15"/>
      <c r="Q108" s="15"/>
      <c r="R108" s="15"/>
    </row>
    <row r="109" spans="1:18">
      <c r="A109" s="5">
        <v>105</v>
      </c>
      <c r="B109" s="5">
        <f>ROUND(A109*설정!$C$16/60,1)</f>
        <v>70</v>
      </c>
      <c r="C109" s="8">
        <v>37709</v>
      </c>
      <c r="D109" s="8">
        <v>45944</v>
      </c>
      <c r="E109" s="8">
        <v>57955</v>
      </c>
      <c r="F109" s="8">
        <v>77303</v>
      </c>
      <c r="G109" s="8">
        <v>272389</v>
      </c>
      <c r="H109" s="22">
        <f t="shared" si="1"/>
        <v>0</v>
      </c>
      <c r="I109" s="5">
        <v>71</v>
      </c>
      <c r="J109" s="5">
        <v>56</v>
      </c>
      <c r="K109" s="5">
        <v>41</v>
      </c>
      <c r="L109" s="5">
        <v>37</v>
      </c>
      <c r="M109" s="5">
        <v>31</v>
      </c>
      <c r="N109" s="15"/>
      <c r="O109" s="15"/>
      <c r="P109" s="15"/>
      <c r="Q109" s="15"/>
      <c r="R109" s="15"/>
    </row>
    <row r="110" spans="1:18">
      <c r="A110" s="5">
        <v>106</v>
      </c>
      <c r="B110" s="5">
        <f>ROUND(A110*설정!$C$16/60,1)</f>
        <v>70.7</v>
      </c>
      <c r="C110" s="8">
        <v>38534</v>
      </c>
      <c r="D110" s="8">
        <v>45944</v>
      </c>
      <c r="E110" s="8">
        <v>59105</v>
      </c>
      <c r="F110" s="8">
        <v>78995</v>
      </c>
      <c r="G110" s="8">
        <v>277792</v>
      </c>
      <c r="H110" s="22">
        <f t="shared" si="1"/>
        <v>0.0218780662441327</v>
      </c>
      <c r="I110" s="5">
        <v>71</v>
      </c>
      <c r="J110" s="5">
        <v>56</v>
      </c>
      <c r="K110" s="5">
        <v>41</v>
      </c>
      <c r="L110" s="5">
        <v>37</v>
      </c>
      <c r="M110" s="5">
        <v>31</v>
      </c>
      <c r="N110" s="15"/>
      <c r="O110" s="15"/>
      <c r="P110" s="15"/>
      <c r="Q110" s="15"/>
      <c r="R110" s="15"/>
    </row>
    <row r="111" spans="1:18">
      <c r="A111" s="5">
        <v>107</v>
      </c>
      <c r="B111" s="5">
        <f>ROUND(A111*설정!$C$16/60,1)</f>
        <v>71.3</v>
      </c>
      <c r="C111" s="8">
        <v>38534</v>
      </c>
      <c r="D111" s="8">
        <v>45944</v>
      </c>
      <c r="E111" s="8">
        <v>59726</v>
      </c>
      <c r="F111" s="8">
        <v>78995</v>
      </c>
      <c r="G111" s="8">
        <v>280713</v>
      </c>
      <c r="H111" s="22">
        <f t="shared" si="1"/>
        <v>0</v>
      </c>
      <c r="I111" s="5">
        <v>71</v>
      </c>
      <c r="J111" s="5">
        <v>56</v>
      </c>
      <c r="K111" s="5">
        <v>41</v>
      </c>
      <c r="L111" s="5">
        <v>37</v>
      </c>
      <c r="M111" s="5">
        <v>31</v>
      </c>
      <c r="N111" s="15"/>
      <c r="O111" s="15"/>
      <c r="P111" s="15"/>
      <c r="Q111" s="15"/>
      <c r="R111" s="15"/>
    </row>
    <row r="112" spans="1:18">
      <c r="A112" s="5">
        <v>108</v>
      </c>
      <c r="B112" s="5">
        <f>ROUND(A112*설정!$C$16/60,1)</f>
        <v>72</v>
      </c>
      <c r="C112" s="8">
        <v>38534</v>
      </c>
      <c r="D112" s="8">
        <v>45944</v>
      </c>
      <c r="E112" s="8">
        <v>59726</v>
      </c>
      <c r="F112" s="8">
        <v>78995</v>
      </c>
      <c r="G112" s="8">
        <v>280713</v>
      </c>
      <c r="H112" s="22">
        <f t="shared" si="1"/>
        <v>0</v>
      </c>
      <c r="I112" s="5">
        <v>71</v>
      </c>
      <c r="J112" s="5">
        <v>56</v>
      </c>
      <c r="K112" s="5">
        <v>41</v>
      </c>
      <c r="L112" s="5">
        <v>37</v>
      </c>
      <c r="M112" s="5">
        <v>32</v>
      </c>
      <c r="N112" s="15"/>
      <c r="O112" s="15"/>
      <c r="P112" s="15"/>
      <c r="Q112" s="15"/>
      <c r="R112" s="15"/>
    </row>
    <row r="113" spans="1:18">
      <c r="A113" s="5">
        <v>109</v>
      </c>
      <c r="B113" s="5">
        <f>ROUND(A113*설정!$C$16/60,1)</f>
        <v>72.7</v>
      </c>
      <c r="C113" s="8">
        <v>38534</v>
      </c>
      <c r="D113" s="8">
        <v>46661</v>
      </c>
      <c r="E113" s="8">
        <v>59726</v>
      </c>
      <c r="F113" s="8">
        <v>80922</v>
      </c>
      <c r="G113" s="8">
        <v>280713</v>
      </c>
      <c r="H113" s="22">
        <f t="shared" si="1"/>
        <v>0</v>
      </c>
      <c r="I113" s="5">
        <v>71</v>
      </c>
      <c r="J113" s="5">
        <v>57</v>
      </c>
      <c r="K113" s="5">
        <v>42</v>
      </c>
      <c r="L113" s="5">
        <v>37</v>
      </c>
      <c r="M113" s="5">
        <v>32</v>
      </c>
      <c r="N113" s="15"/>
      <c r="O113" s="15"/>
      <c r="P113" s="15"/>
      <c r="Q113" s="15"/>
      <c r="R113" s="15"/>
    </row>
    <row r="114" spans="1:18">
      <c r="A114" s="5">
        <v>110</v>
      </c>
      <c r="B114" s="5">
        <f>ROUND(A114*설정!$C$16/60,1)</f>
        <v>73.3</v>
      </c>
      <c r="C114" s="8">
        <v>39177</v>
      </c>
      <c r="D114" s="8">
        <v>46661</v>
      </c>
      <c r="E114" s="8">
        <v>60834</v>
      </c>
      <c r="F114" s="8">
        <v>82271</v>
      </c>
      <c r="G114" s="8">
        <v>285922</v>
      </c>
      <c r="H114" s="22">
        <f t="shared" si="1"/>
        <v>0.0166865625162194</v>
      </c>
      <c r="I114" s="5">
        <v>71</v>
      </c>
      <c r="J114" s="5">
        <v>57</v>
      </c>
      <c r="K114" s="5">
        <v>42</v>
      </c>
      <c r="L114" s="5">
        <v>37</v>
      </c>
      <c r="M114" s="5">
        <v>32</v>
      </c>
      <c r="N114" s="15"/>
      <c r="O114" s="15"/>
      <c r="P114" s="15"/>
      <c r="Q114" s="15"/>
      <c r="R114" s="15"/>
    </row>
    <row r="115" spans="1:18">
      <c r="A115" s="5">
        <v>111</v>
      </c>
      <c r="B115" s="5">
        <f>ROUND(A115*설정!$C$16/60,1)</f>
        <v>74</v>
      </c>
      <c r="C115" s="8">
        <v>39177</v>
      </c>
      <c r="D115" s="8">
        <v>47388</v>
      </c>
      <c r="E115" s="8">
        <v>60834</v>
      </c>
      <c r="F115" s="8">
        <v>82271</v>
      </c>
      <c r="G115" s="8">
        <v>285922</v>
      </c>
      <c r="H115" s="22">
        <f t="shared" si="1"/>
        <v>0</v>
      </c>
      <c r="I115" s="5">
        <v>71</v>
      </c>
      <c r="J115" s="5">
        <v>57</v>
      </c>
      <c r="K115" s="5">
        <v>42</v>
      </c>
      <c r="L115" s="5">
        <v>37</v>
      </c>
      <c r="M115" s="5">
        <v>32</v>
      </c>
      <c r="N115" s="15"/>
      <c r="O115" s="15"/>
      <c r="P115" s="15"/>
      <c r="Q115" s="15"/>
      <c r="R115" s="15"/>
    </row>
    <row r="116" spans="1:18">
      <c r="A116" s="5">
        <v>112</v>
      </c>
      <c r="B116" s="5">
        <f>ROUND(A116*설정!$C$16/60,1)</f>
        <v>74.7</v>
      </c>
      <c r="C116" s="8">
        <v>39177</v>
      </c>
      <c r="D116" s="8">
        <v>47388</v>
      </c>
      <c r="E116" s="8">
        <v>60834</v>
      </c>
      <c r="F116" s="8">
        <v>82271</v>
      </c>
      <c r="G116" s="8">
        <v>285922</v>
      </c>
      <c r="H116" s="22">
        <f t="shared" si="1"/>
        <v>0</v>
      </c>
      <c r="I116" s="5">
        <v>72</v>
      </c>
      <c r="J116" s="5">
        <v>57</v>
      </c>
      <c r="K116" s="5">
        <v>42</v>
      </c>
      <c r="L116" s="5">
        <v>37</v>
      </c>
      <c r="M116" s="5">
        <v>32</v>
      </c>
      <c r="N116" s="15"/>
      <c r="O116" s="15"/>
      <c r="P116" s="15"/>
      <c r="Q116" s="15"/>
      <c r="R116" s="15"/>
    </row>
    <row r="117" spans="1:18">
      <c r="A117" s="5">
        <v>113</v>
      </c>
      <c r="B117" s="5">
        <f>ROUND(A117*설정!$C$16/60,1)</f>
        <v>75.3</v>
      </c>
      <c r="C117" s="8">
        <v>40025</v>
      </c>
      <c r="D117" s="8">
        <v>47388</v>
      </c>
      <c r="E117" s="8">
        <v>62029</v>
      </c>
      <c r="F117" s="8">
        <v>84051</v>
      </c>
      <c r="G117" s="8">
        <v>291535</v>
      </c>
      <c r="H117" s="22">
        <f t="shared" si="1"/>
        <v>0.0216453531408736</v>
      </c>
      <c r="I117" s="5">
        <v>72</v>
      </c>
      <c r="J117" s="5">
        <v>57</v>
      </c>
      <c r="K117" s="5">
        <v>42</v>
      </c>
      <c r="L117" s="5">
        <v>37</v>
      </c>
      <c r="M117" s="5">
        <v>32</v>
      </c>
      <c r="N117" s="15"/>
      <c r="O117" s="15"/>
      <c r="P117" s="15"/>
      <c r="Q117" s="15"/>
      <c r="R117" s="15"/>
    </row>
    <row r="118" spans="1:18">
      <c r="A118" s="5">
        <v>114</v>
      </c>
      <c r="B118" s="5">
        <f>ROUND(A118*설정!$C$16/60,1)</f>
        <v>76</v>
      </c>
      <c r="C118" s="8">
        <v>40025</v>
      </c>
      <c r="D118" s="8">
        <v>48373</v>
      </c>
      <c r="E118" s="8">
        <v>62029</v>
      </c>
      <c r="F118" s="8">
        <v>84051</v>
      </c>
      <c r="G118" s="8">
        <v>291535</v>
      </c>
      <c r="H118" s="22">
        <f t="shared" si="1"/>
        <v>0</v>
      </c>
      <c r="I118" s="5">
        <v>72</v>
      </c>
      <c r="J118" s="5">
        <v>57</v>
      </c>
      <c r="K118" s="5">
        <v>42</v>
      </c>
      <c r="L118" s="5">
        <v>38</v>
      </c>
      <c r="M118" s="5">
        <v>32</v>
      </c>
      <c r="N118" s="15"/>
      <c r="O118" s="15"/>
      <c r="P118" s="15"/>
      <c r="Q118" s="15"/>
      <c r="R118" s="15"/>
    </row>
    <row r="119" spans="1:18">
      <c r="A119" s="5">
        <v>115</v>
      </c>
      <c r="B119" s="5">
        <f>ROUND(A119*설정!$C$16/60,1)</f>
        <v>76.7</v>
      </c>
      <c r="C119" s="8">
        <v>40670</v>
      </c>
      <c r="D119" s="8">
        <v>48373</v>
      </c>
      <c r="E119" s="8">
        <v>62674</v>
      </c>
      <c r="F119" s="8">
        <v>85407</v>
      </c>
      <c r="G119" s="8">
        <v>294567</v>
      </c>
      <c r="H119" s="22">
        <f t="shared" si="1"/>
        <v>0.0161149281698938</v>
      </c>
      <c r="I119" s="5">
        <v>72</v>
      </c>
      <c r="J119" s="5">
        <v>58</v>
      </c>
      <c r="K119" s="5">
        <v>42</v>
      </c>
      <c r="L119" s="5">
        <v>38</v>
      </c>
      <c r="M119" s="5">
        <v>32</v>
      </c>
      <c r="N119" s="15"/>
      <c r="O119" s="15"/>
      <c r="P119" s="15"/>
      <c r="Q119" s="15"/>
      <c r="R119" s="15"/>
    </row>
    <row r="120" spans="1:18">
      <c r="A120" s="5">
        <v>116</v>
      </c>
      <c r="B120" s="5">
        <f>ROUND(A120*설정!$C$16/60,1)</f>
        <v>77.3</v>
      </c>
      <c r="C120" s="8">
        <v>41134</v>
      </c>
      <c r="D120" s="8">
        <v>49118</v>
      </c>
      <c r="E120" s="8">
        <v>62674</v>
      </c>
      <c r="F120" s="8">
        <v>86381</v>
      </c>
      <c r="G120" s="8">
        <v>294567</v>
      </c>
      <c r="H120" s="22">
        <f t="shared" si="1"/>
        <v>0.0114089009097615</v>
      </c>
      <c r="I120" s="5">
        <v>72</v>
      </c>
      <c r="J120" s="5">
        <v>58</v>
      </c>
      <c r="K120" s="5">
        <v>43</v>
      </c>
      <c r="L120" s="5">
        <v>38</v>
      </c>
      <c r="M120" s="5">
        <v>32</v>
      </c>
      <c r="N120" s="15"/>
      <c r="O120" s="15"/>
      <c r="P120" s="15"/>
      <c r="Q120" s="15"/>
      <c r="R120" s="15"/>
    </row>
    <row r="121" spans="1:18">
      <c r="A121" s="5">
        <v>117</v>
      </c>
      <c r="B121" s="5">
        <f>ROUND(A121*설정!$C$16/60,1)</f>
        <v>78</v>
      </c>
      <c r="C121" s="8">
        <v>41336</v>
      </c>
      <c r="D121" s="8">
        <v>49118</v>
      </c>
      <c r="E121" s="8">
        <v>62674</v>
      </c>
      <c r="F121" s="8">
        <v>86805</v>
      </c>
      <c r="G121" s="8">
        <v>294567</v>
      </c>
      <c r="H121" s="22">
        <f t="shared" si="1"/>
        <v>0.00491077940389939</v>
      </c>
      <c r="I121" s="5">
        <v>72</v>
      </c>
      <c r="J121" s="5">
        <v>58</v>
      </c>
      <c r="K121" s="5">
        <v>43</v>
      </c>
      <c r="L121" s="5">
        <v>38</v>
      </c>
      <c r="M121" s="5">
        <v>32</v>
      </c>
      <c r="N121" s="15"/>
      <c r="O121" s="15"/>
      <c r="P121" s="15"/>
      <c r="Q121" s="15"/>
      <c r="R121" s="15"/>
    </row>
    <row r="122" spans="1:18">
      <c r="A122" s="5">
        <v>118</v>
      </c>
      <c r="B122" s="5">
        <f>ROUND(A122*설정!$C$16/60,1)</f>
        <v>78.7</v>
      </c>
      <c r="C122" s="8">
        <v>41336</v>
      </c>
      <c r="D122" s="8">
        <v>49118</v>
      </c>
      <c r="E122" s="8">
        <v>62674</v>
      </c>
      <c r="F122" s="8">
        <v>86805</v>
      </c>
      <c r="G122" s="8">
        <v>300835</v>
      </c>
      <c r="H122" s="22">
        <f t="shared" si="1"/>
        <v>0</v>
      </c>
      <c r="I122" s="5">
        <v>73</v>
      </c>
      <c r="J122" s="5">
        <v>58</v>
      </c>
      <c r="K122" s="5">
        <v>43</v>
      </c>
      <c r="L122" s="5">
        <v>38</v>
      </c>
      <c r="M122" s="5">
        <v>32</v>
      </c>
      <c r="N122" s="15"/>
      <c r="O122" s="15"/>
      <c r="P122" s="15"/>
      <c r="Q122" s="15"/>
      <c r="R122" s="15"/>
    </row>
    <row r="123" spans="1:18">
      <c r="A123" s="5">
        <v>119</v>
      </c>
      <c r="B123" s="5">
        <f>ROUND(A123*설정!$C$16/60,1)</f>
        <v>79.3</v>
      </c>
      <c r="C123" s="8">
        <v>42220</v>
      </c>
      <c r="D123" s="8">
        <v>49118</v>
      </c>
      <c r="E123" s="8">
        <v>62674</v>
      </c>
      <c r="F123" s="8">
        <v>88663</v>
      </c>
      <c r="G123" s="8">
        <v>300835</v>
      </c>
      <c r="H123" s="22">
        <f t="shared" si="1"/>
        <v>0.021385717050513</v>
      </c>
      <c r="I123" s="5">
        <v>73</v>
      </c>
      <c r="J123" s="5">
        <v>58</v>
      </c>
      <c r="K123" s="5">
        <v>43</v>
      </c>
      <c r="L123" s="5">
        <v>38</v>
      </c>
      <c r="M123" s="5">
        <v>32</v>
      </c>
      <c r="N123" s="15"/>
      <c r="O123" s="15"/>
      <c r="P123" s="15"/>
      <c r="Q123" s="15"/>
      <c r="R123" s="15"/>
    </row>
    <row r="124" spans="1:18">
      <c r="A124" s="5">
        <v>120</v>
      </c>
      <c r="B124" s="5">
        <f>ROUND(A124*설정!$C$16/60,1)</f>
        <v>80</v>
      </c>
      <c r="C124" s="8">
        <v>42220</v>
      </c>
      <c r="D124" s="8">
        <v>49118</v>
      </c>
      <c r="E124" s="8">
        <v>62674</v>
      </c>
      <c r="F124" s="8">
        <v>88663</v>
      </c>
      <c r="G124" s="8">
        <v>300835</v>
      </c>
      <c r="H124" s="22">
        <f t="shared" si="1"/>
        <v>0</v>
      </c>
      <c r="I124" s="5">
        <v>73</v>
      </c>
      <c r="J124" s="5">
        <v>58</v>
      </c>
      <c r="K124" s="5">
        <v>43</v>
      </c>
      <c r="L124" s="5">
        <v>38</v>
      </c>
      <c r="M124" s="5">
        <v>32</v>
      </c>
      <c r="N124" s="15"/>
      <c r="O124" s="15"/>
      <c r="P124" s="15"/>
      <c r="Q124" s="15"/>
      <c r="R124" s="15"/>
    </row>
    <row r="125" spans="1:18">
      <c r="A125" s="5">
        <v>121</v>
      </c>
      <c r="B125" s="5">
        <f>ROUND(A125*설정!$C$16/60,1)</f>
        <v>80.7</v>
      </c>
      <c r="C125" s="8">
        <v>42220</v>
      </c>
      <c r="D125" s="8">
        <v>49654</v>
      </c>
      <c r="E125" s="8">
        <v>63896</v>
      </c>
      <c r="F125" s="8">
        <v>88663</v>
      </c>
      <c r="G125" s="8">
        <v>306702</v>
      </c>
      <c r="H125" s="22">
        <f t="shared" si="1"/>
        <v>0</v>
      </c>
      <c r="I125" s="5">
        <v>73</v>
      </c>
      <c r="J125" s="5">
        <v>58</v>
      </c>
      <c r="K125" s="5">
        <v>43</v>
      </c>
      <c r="L125" s="5">
        <v>38</v>
      </c>
      <c r="M125" s="5">
        <v>33</v>
      </c>
      <c r="N125" s="15"/>
      <c r="O125" s="15"/>
      <c r="P125" s="15"/>
      <c r="Q125" s="15"/>
      <c r="R125" s="15"/>
    </row>
    <row r="126" spans="1:18">
      <c r="A126" s="5">
        <v>122</v>
      </c>
      <c r="B126" s="5">
        <f>ROUND(A126*설정!$C$16/60,1)</f>
        <v>81.3</v>
      </c>
      <c r="C126" s="8">
        <v>42220</v>
      </c>
      <c r="D126" s="8">
        <v>49654</v>
      </c>
      <c r="E126" s="8">
        <v>63896</v>
      </c>
      <c r="F126" s="8">
        <v>90774</v>
      </c>
      <c r="G126" s="8">
        <v>306702</v>
      </c>
      <c r="H126" s="22">
        <f t="shared" si="1"/>
        <v>0</v>
      </c>
      <c r="I126" s="5">
        <v>73</v>
      </c>
      <c r="J126" s="5">
        <v>58</v>
      </c>
      <c r="K126" s="5">
        <v>43</v>
      </c>
      <c r="L126" s="5">
        <v>38</v>
      </c>
      <c r="M126" s="5">
        <v>33</v>
      </c>
      <c r="N126" s="15"/>
      <c r="O126" s="15"/>
      <c r="P126" s="15"/>
      <c r="Q126" s="15"/>
      <c r="R126" s="15"/>
    </row>
    <row r="127" spans="1:18">
      <c r="A127" s="5">
        <v>123</v>
      </c>
      <c r="B127" s="5">
        <f>ROUND(A127*설정!$C$16/60,1)</f>
        <v>82</v>
      </c>
      <c r="C127" s="8">
        <v>42220</v>
      </c>
      <c r="D127" s="8">
        <v>49654</v>
      </c>
      <c r="E127" s="8">
        <v>63896</v>
      </c>
      <c r="F127" s="8">
        <v>90774</v>
      </c>
      <c r="G127" s="8">
        <v>306702</v>
      </c>
      <c r="H127" s="22">
        <f t="shared" si="1"/>
        <v>0</v>
      </c>
      <c r="I127" s="5">
        <v>73</v>
      </c>
      <c r="J127" s="5">
        <v>59</v>
      </c>
      <c r="K127" s="5">
        <v>43</v>
      </c>
      <c r="L127" s="5">
        <v>38</v>
      </c>
      <c r="M127" s="5">
        <v>33</v>
      </c>
      <c r="N127" s="15"/>
      <c r="O127" s="15"/>
      <c r="P127" s="15"/>
      <c r="Q127" s="15"/>
      <c r="R127" s="15"/>
    </row>
    <row r="128" spans="1:18">
      <c r="A128" s="5">
        <v>124</v>
      </c>
      <c r="B128" s="5">
        <f>ROUND(A128*설정!$C$16/60,1)</f>
        <v>82.7</v>
      </c>
      <c r="C128" s="8">
        <v>42696</v>
      </c>
      <c r="D128" s="8">
        <v>50895</v>
      </c>
      <c r="E128" s="8">
        <v>65057</v>
      </c>
      <c r="F128" s="8">
        <v>91796</v>
      </c>
      <c r="G128" s="8">
        <v>312273</v>
      </c>
      <c r="H128" s="22">
        <f t="shared" si="1"/>
        <v>0.0112742775935575</v>
      </c>
      <c r="I128" s="5">
        <v>73</v>
      </c>
      <c r="J128" s="5">
        <v>59</v>
      </c>
      <c r="K128" s="5">
        <v>43</v>
      </c>
      <c r="L128" s="5">
        <v>38</v>
      </c>
      <c r="M128" s="5">
        <v>33</v>
      </c>
      <c r="N128" s="15"/>
      <c r="O128" s="15"/>
      <c r="P128" s="15"/>
      <c r="Q128" s="15"/>
      <c r="R128" s="15"/>
    </row>
    <row r="129" spans="1:18">
      <c r="A129" s="5">
        <v>125</v>
      </c>
      <c r="B129" s="5">
        <f>ROUND(A129*설정!$C$16/60,1)</f>
        <v>83.3</v>
      </c>
      <c r="C129" s="8">
        <v>42696</v>
      </c>
      <c r="D129" s="8">
        <v>50895</v>
      </c>
      <c r="E129" s="8">
        <v>65057</v>
      </c>
      <c r="F129" s="8">
        <v>91796</v>
      </c>
      <c r="G129" s="8">
        <v>312273</v>
      </c>
      <c r="H129" s="22">
        <f t="shared" si="1"/>
        <v>0</v>
      </c>
      <c r="I129" s="5">
        <v>73</v>
      </c>
      <c r="J129" s="5">
        <v>59</v>
      </c>
      <c r="K129" s="5">
        <v>43</v>
      </c>
      <c r="L129" s="5">
        <v>39</v>
      </c>
      <c r="M129" s="5">
        <v>33</v>
      </c>
      <c r="N129" s="15"/>
      <c r="O129" s="15"/>
      <c r="P129" s="15"/>
      <c r="Q129" s="15"/>
      <c r="R129" s="15"/>
    </row>
    <row r="130" spans="1:18">
      <c r="A130" s="5">
        <v>126</v>
      </c>
      <c r="B130" s="5">
        <f>ROUND(A130*설정!$C$16/60,1)</f>
        <v>84</v>
      </c>
      <c r="C130" s="8">
        <v>43374</v>
      </c>
      <c r="D130" s="8">
        <v>50895</v>
      </c>
      <c r="E130" s="8">
        <v>65726</v>
      </c>
      <c r="F130" s="8">
        <v>93253</v>
      </c>
      <c r="G130" s="8">
        <v>315486</v>
      </c>
      <c r="H130" s="22">
        <f t="shared" si="1"/>
        <v>0.0158797077009556</v>
      </c>
      <c r="I130" s="5">
        <v>73</v>
      </c>
      <c r="J130" s="5">
        <v>59</v>
      </c>
      <c r="K130" s="5">
        <v>43</v>
      </c>
      <c r="L130" s="5">
        <v>39</v>
      </c>
      <c r="M130" s="5">
        <v>33</v>
      </c>
      <c r="N130" s="15"/>
      <c r="O130" s="15"/>
      <c r="P130" s="15"/>
      <c r="Q130" s="15"/>
      <c r="R130" s="15"/>
    </row>
    <row r="131" spans="1:18">
      <c r="A131" s="5">
        <v>127</v>
      </c>
      <c r="B131" s="5">
        <f>ROUND(A131*설정!$C$16/60,1)</f>
        <v>84.7</v>
      </c>
      <c r="C131" s="8">
        <v>43374</v>
      </c>
      <c r="D131" s="8">
        <v>51933</v>
      </c>
      <c r="E131" s="8">
        <v>65726</v>
      </c>
      <c r="F131" s="8">
        <v>93253</v>
      </c>
      <c r="G131" s="8">
        <v>315486</v>
      </c>
      <c r="H131" s="22">
        <f t="shared" si="1"/>
        <v>0</v>
      </c>
      <c r="I131" s="5">
        <v>73</v>
      </c>
      <c r="J131" s="5">
        <v>59</v>
      </c>
      <c r="K131" s="5">
        <v>43</v>
      </c>
      <c r="L131" s="5">
        <v>39</v>
      </c>
      <c r="M131" s="5">
        <v>33</v>
      </c>
      <c r="N131" s="15"/>
      <c r="O131" s="15"/>
      <c r="P131" s="15"/>
      <c r="Q131" s="15"/>
      <c r="R131" s="15"/>
    </row>
    <row r="132" spans="1:18">
      <c r="A132" s="5">
        <v>128</v>
      </c>
      <c r="B132" s="5">
        <f>ROUND(A132*설정!$C$16/60,1)</f>
        <v>85.3</v>
      </c>
      <c r="C132" s="8">
        <v>43374</v>
      </c>
      <c r="D132" s="8">
        <v>51933</v>
      </c>
      <c r="E132" s="8">
        <v>65726</v>
      </c>
      <c r="F132" s="8">
        <v>93253</v>
      </c>
      <c r="G132" s="8">
        <v>315486</v>
      </c>
      <c r="H132" s="22">
        <f t="shared" si="1"/>
        <v>0</v>
      </c>
      <c r="I132" s="5">
        <v>74</v>
      </c>
      <c r="J132" s="5">
        <v>59</v>
      </c>
      <c r="K132" s="5">
        <v>43</v>
      </c>
      <c r="L132" s="5">
        <v>39</v>
      </c>
      <c r="M132" s="5">
        <v>33</v>
      </c>
      <c r="N132" s="15"/>
      <c r="O132" s="15"/>
      <c r="P132" s="15"/>
      <c r="Q132" s="15"/>
      <c r="R132" s="15"/>
    </row>
    <row r="133" spans="1:18">
      <c r="A133" s="5">
        <v>129</v>
      </c>
      <c r="B133" s="5">
        <f>ROUND(A133*설정!$C$16/60,1)</f>
        <v>86</v>
      </c>
      <c r="C133" s="8">
        <v>44296</v>
      </c>
      <c r="D133" s="8">
        <v>52496</v>
      </c>
      <c r="E133" s="8">
        <v>66995</v>
      </c>
      <c r="F133" s="8">
        <v>95236</v>
      </c>
      <c r="G133" s="8">
        <v>321577</v>
      </c>
      <c r="H133" s="22">
        <f t="shared" si="1"/>
        <v>0.0212569742241897</v>
      </c>
      <c r="I133" s="5">
        <v>74</v>
      </c>
      <c r="J133" s="5">
        <v>59</v>
      </c>
      <c r="K133" s="5">
        <v>44</v>
      </c>
      <c r="L133" s="5">
        <v>39</v>
      </c>
      <c r="M133" s="5">
        <v>33</v>
      </c>
      <c r="N133" s="15"/>
      <c r="O133" s="15"/>
      <c r="P133" s="15"/>
      <c r="Q133" s="15"/>
      <c r="R133" s="15"/>
    </row>
    <row r="134" spans="1:18">
      <c r="A134" s="5">
        <v>130</v>
      </c>
      <c r="B134" s="5">
        <f>ROUND(A134*설정!$C$16/60,1)</f>
        <v>86.7</v>
      </c>
      <c r="C134" s="8">
        <v>44502</v>
      </c>
      <c r="D134" s="8">
        <v>52496</v>
      </c>
      <c r="E134" s="8">
        <v>66995</v>
      </c>
      <c r="F134" s="8">
        <v>95680</v>
      </c>
      <c r="G134" s="8">
        <v>321577</v>
      </c>
      <c r="H134" s="22">
        <f t="shared" ref="H134:H197" si="2">IF(C133&gt;0,C134/C133-1,0)</f>
        <v>0.00465053277948346</v>
      </c>
      <c r="I134" s="5">
        <v>74</v>
      </c>
      <c r="J134" s="5">
        <v>60</v>
      </c>
      <c r="K134" s="5">
        <v>44</v>
      </c>
      <c r="L134" s="5">
        <v>39</v>
      </c>
      <c r="M134" s="5">
        <v>33</v>
      </c>
      <c r="N134" s="15"/>
      <c r="O134" s="15"/>
      <c r="P134" s="15"/>
      <c r="Q134" s="15"/>
      <c r="R134" s="15"/>
    </row>
    <row r="135" spans="1:18">
      <c r="A135" s="5">
        <v>131</v>
      </c>
      <c r="B135" s="5">
        <f>ROUND(A135*설정!$C$16/60,1)</f>
        <v>87.3</v>
      </c>
      <c r="C135" s="8">
        <v>44998</v>
      </c>
      <c r="D135" s="8">
        <v>53291</v>
      </c>
      <c r="E135" s="8">
        <v>66995</v>
      </c>
      <c r="F135" s="8">
        <v>96745</v>
      </c>
      <c r="G135" s="8">
        <v>321577</v>
      </c>
      <c r="H135" s="22">
        <f t="shared" si="2"/>
        <v>0.0111455664913938</v>
      </c>
      <c r="I135" s="5">
        <v>74</v>
      </c>
      <c r="J135" s="5">
        <v>60</v>
      </c>
      <c r="K135" s="5">
        <v>44</v>
      </c>
      <c r="L135" s="5">
        <v>39</v>
      </c>
      <c r="M135" s="5">
        <v>33</v>
      </c>
      <c r="N135" s="15"/>
      <c r="O135" s="15"/>
      <c r="P135" s="15"/>
      <c r="Q135" s="15"/>
      <c r="R135" s="15"/>
    </row>
    <row r="136" spans="1:18">
      <c r="A136" s="5">
        <v>132</v>
      </c>
      <c r="B136" s="5">
        <f>ROUND(A136*설정!$C$16/60,1)</f>
        <v>88</v>
      </c>
      <c r="C136" s="8">
        <v>44998</v>
      </c>
      <c r="D136" s="8">
        <v>53291</v>
      </c>
      <c r="E136" s="8">
        <v>66995</v>
      </c>
      <c r="F136" s="8">
        <v>96745</v>
      </c>
      <c r="G136" s="8">
        <v>321577</v>
      </c>
      <c r="H136" s="22">
        <f t="shared" si="2"/>
        <v>0</v>
      </c>
      <c r="I136" s="5">
        <v>74</v>
      </c>
      <c r="J136" s="5">
        <v>60</v>
      </c>
      <c r="K136" s="5">
        <v>44</v>
      </c>
      <c r="L136" s="5">
        <v>39</v>
      </c>
      <c r="M136" s="5">
        <v>33</v>
      </c>
      <c r="N136" s="15"/>
      <c r="O136" s="15"/>
      <c r="P136" s="15"/>
      <c r="Q136" s="15"/>
      <c r="R136" s="15"/>
    </row>
    <row r="137" spans="1:18">
      <c r="A137" s="5">
        <v>133</v>
      </c>
      <c r="B137" s="5">
        <f>ROUND(A137*설정!$C$16/60,1)</f>
        <v>88.7</v>
      </c>
      <c r="C137" s="8">
        <v>44998</v>
      </c>
      <c r="D137" s="8">
        <v>53291</v>
      </c>
      <c r="E137" s="8">
        <v>66995</v>
      </c>
      <c r="F137" s="8">
        <v>96745</v>
      </c>
      <c r="G137" s="8">
        <v>328277</v>
      </c>
      <c r="H137" s="22">
        <f t="shared" si="2"/>
        <v>0</v>
      </c>
      <c r="I137" s="5">
        <v>75</v>
      </c>
      <c r="J137" s="5">
        <v>60</v>
      </c>
      <c r="K137" s="5">
        <v>44</v>
      </c>
      <c r="L137" s="5">
        <v>39</v>
      </c>
      <c r="M137" s="5">
        <v>33</v>
      </c>
      <c r="N137" s="15"/>
      <c r="O137" s="15"/>
      <c r="P137" s="15"/>
      <c r="Q137" s="15"/>
      <c r="R137" s="15"/>
    </row>
    <row r="138" spans="1:18">
      <c r="A138" s="5">
        <v>134</v>
      </c>
      <c r="B138" s="5">
        <f>ROUND(A138*설정!$C$16/60,1)</f>
        <v>89.3</v>
      </c>
      <c r="C138" s="8">
        <v>45944</v>
      </c>
      <c r="D138" s="8">
        <v>53291</v>
      </c>
      <c r="E138" s="8">
        <v>66995</v>
      </c>
      <c r="F138" s="8">
        <v>98779</v>
      </c>
      <c r="G138" s="8">
        <v>328277</v>
      </c>
      <c r="H138" s="22">
        <f t="shared" si="2"/>
        <v>0.0210231565847372</v>
      </c>
      <c r="I138" s="5">
        <v>75</v>
      </c>
      <c r="J138" s="5">
        <v>60</v>
      </c>
      <c r="K138" s="5">
        <v>44</v>
      </c>
      <c r="L138" s="5">
        <v>39</v>
      </c>
      <c r="M138" s="5">
        <v>33</v>
      </c>
      <c r="N138" s="15"/>
      <c r="O138" s="15"/>
      <c r="P138" s="15"/>
      <c r="Q138" s="15"/>
      <c r="R138" s="15"/>
    </row>
    <row r="139" spans="1:18">
      <c r="A139" s="5">
        <v>135</v>
      </c>
      <c r="B139" s="5">
        <f>ROUND(A139*설정!$C$16/60,1)</f>
        <v>90</v>
      </c>
      <c r="C139" s="8">
        <v>45944</v>
      </c>
      <c r="D139" s="8">
        <v>53291</v>
      </c>
      <c r="E139" s="8">
        <v>67680</v>
      </c>
      <c r="F139" s="8">
        <v>98779</v>
      </c>
      <c r="G139" s="8">
        <v>331630</v>
      </c>
      <c r="H139" s="22">
        <f t="shared" si="2"/>
        <v>0</v>
      </c>
      <c r="I139" s="5">
        <v>75</v>
      </c>
      <c r="J139" s="5">
        <v>60</v>
      </c>
      <c r="K139" s="5">
        <v>44</v>
      </c>
      <c r="L139" s="5">
        <v>39</v>
      </c>
      <c r="M139" s="5">
        <v>33</v>
      </c>
      <c r="N139" s="15"/>
      <c r="O139" s="15"/>
      <c r="P139" s="15"/>
      <c r="Q139" s="15"/>
      <c r="R139" s="15"/>
    </row>
    <row r="140" spans="1:18">
      <c r="A140" s="5">
        <v>136</v>
      </c>
      <c r="B140" s="5">
        <f>ROUND(A140*설정!$C$16/60,1)</f>
        <v>90.7</v>
      </c>
      <c r="C140" s="8">
        <v>45944</v>
      </c>
      <c r="D140" s="8">
        <v>53512</v>
      </c>
      <c r="E140" s="8">
        <v>67680</v>
      </c>
      <c r="F140" s="8">
        <v>98779</v>
      </c>
      <c r="G140" s="8">
        <v>331630</v>
      </c>
      <c r="H140" s="22">
        <f t="shared" si="2"/>
        <v>0</v>
      </c>
      <c r="I140" s="5">
        <v>75</v>
      </c>
      <c r="J140" s="5">
        <v>60</v>
      </c>
      <c r="K140" s="5">
        <v>44</v>
      </c>
      <c r="L140" s="5">
        <v>39</v>
      </c>
      <c r="M140" s="5">
        <v>33</v>
      </c>
      <c r="N140" s="15"/>
      <c r="O140" s="15"/>
      <c r="P140" s="15"/>
      <c r="Q140" s="15"/>
      <c r="R140" s="15"/>
    </row>
    <row r="141" spans="1:18">
      <c r="A141" s="5">
        <v>137</v>
      </c>
      <c r="B141" s="5">
        <f>ROUND(A141*설정!$C$16/60,1)</f>
        <v>91.3</v>
      </c>
      <c r="C141" s="8">
        <v>45944</v>
      </c>
      <c r="D141" s="8">
        <v>53512</v>
      </c>
      <c r="E141" s="8">
        <v>67680</v>
      </c>
      <c r="F141" s="8">
        <v>98779</v>
      </c>
      <c r="G141" s="8">
        <v>331630</v>
      </c>
      <c r="H141" s="22">
        <f t="shared" si="2"/>
        <v>0</v>
      </c>
      <c r="I141" s="5">
        <v>75</v>
      </c>
      <c r="J141" s="5">
        <v>60</v>
      </c>
      <c r="K141" s="5">
        <v>44</v>
      </c>
      <c r="L141" s="5">
        <v>39</v>
      </c>
      <c r="M141" s="5">
        <v>34</v>
      </c>
      <c r="N141" s="15"/>
      <c r="O141" s="15"/>
      <c r="P141" s="15"/>
      <c r="Q141" s="15"/>
      <c r="R141" s="15"/>
    </row>
    <row r="142" spans="1:18">
      <c r="A142" s="5">
        <v>138</v>
      </c>
      <c r="B142" s="5">
        <f>ROUND(A142*설정!$C$16/60,1)</f>
        <v>92</v>
      </c>
      <c r="C142" s="8">
        <v>45944</v>
      </c>
      <c r="D142" s="8">
        <v>53512</v>
      </c>
      <c r="E142" s="8">
        <v>68646</v>
      </c>
      <c r="F142" s="8">
        <v>101076</v>
      </c>
      <c r="G142" s="8">
        <v>336368</v>
      </c>
      <c r="H142" s="22">
        <f t="shared" si="2"/>
        <v>0</v>
      </c>
      <c r="I142" s="5">
        <v>75</v>
      </c>
      <c r="J142" s="5">
        <v>60</v>
      </c>
      <c r="K142" s="5">
        <v>44</v>
      </c>
      <c r="L142" s="5">
        <v>39</v>
      </c>
      <c r="M142" s="5">
        <v>34</v>
      </c>
      <c r="N142" s="15"/>
      <c r="O142" s="15"/>
      <c r="P142" s="15"/>
      <c r="Q142" s="15"/>
      <c r="R142" s="15"/>
    </row>
    <row r="143" spans="1:18">
      <c r="A143" s="5">
        <v>139</v>
      </c>
      <c r="B143" s="5">
        <f>ROUND(A143*설정!$C$16/60,1)</f>
        <v>92.7</v>
      </c>
      <c r="C143" s="8">
        <v>45944</v>
      </c>
      <c r="D143" s="8">
        <v>54591</v>
      </c>
      <c r="E143" s="8">
        <v>68886</v>
      </c>
      <c r="F143" s="8">
        <v>101076</v>
      </c>
      <c r="G143" s="8">
        <v>337541</v>
      </c>
      <c r="H143" s="22">
        <f t="shared" si="2"/>
        <v>0</v>
      </c>
      <c r="I143" s="5">
        <v>75</v>
      </c>
      <c r="J143" s="5">
        <v>60</v>
      </c>
      <c r="K143" s="5">
        <v>44</v>
      </c>
      <c r="L143" s="5">
        <v>40</v>
      </c>
      <c r="M143" s="5">
        <v>34</v>
      </c>
      <c r="N143" s="15"/>
      <c r="O143" s="15"/>
      <c r="P143" s="15"/>
      <c r="Q143" s="15"/>
      <c r="R143" s="15"/>
    </row>
    <row r="144" spans="1:18">
      <c r="A144" s="5">
        <v>140</v>
      </c>
      <c r="B144" s="5">
        <f>ROUND(A144*설정!$C$16/60,1)</f>
        <v>93.3</v>
      </c>
      <c r="C144" s="8">
        <v>46661</v>
      </c>
      <c r="D144" s="8">
        <v>54591</v>
      </c>
      <c r="E144" s="8">
        <v>68886</v>
      </c>
      <c r="F144" s="8">
        <v>102655</v>
      </c>
      <c r="G144" s="8">
        <v>337541</v>
      </c>
      <c r="H144" s="22">
        <f t="shared" si="2"/>
        <v>0.0156059550757444</v>
      </c>
      <c r="I144" s="5">
        <v>75</v>
      </c>
      <c r="J144" s="5">
        <v>60</v>
      </c>
      <c r="K144" s="5">
        <v>44</v>
      </c>
      <c r="L144" s="5">
        <v>40</v>
      </c>
      <c r="M144" s="5">
        <v>34</v>
      </c>
      <c r="N144" s="15"/>
      <c r="O144" s="15"/>
      <c r="P144" s="15"/>
      <c r="Q144" s="15"/>
      <c r="R144" s="15"/>
    </row>
    <row r="145" spans="1:18">
      <c r="A145" s="5">
        <v>141</v>
      </c>
      <c r="B145" s="5">
        <f>ROUND(A145*설정!$C$16/60,1)</f>
        <v>94</v>
      </c>
      <c r="C145" s="8">
        <v>46661</v>
      </c>
      <c r="D145" s="8">
        <v>55176</v>
      </c>
      <c r="E145" s="8">
        <v>68886</v>
      </c>
      <c r="F145" s="8">
        <v>102655</v>
      </c>
      <c r="G145" s="8">
        <v>337541</v>
      </c>
      <c r="H145" s="22">
        <f t="shared" si="2"/>
        <v>0</v>
      </c>
      <c r="I145" s="5">
        <v>75</v>
      </c>
      <c r="J145" s="5">
        <v>61</v>
      </c>
      <c r="K145" s="5">
        <v>44</v>
      </c>
      <c r="L145" s="5">
        <v>40</v>
      </c>
      <c r="M145" s="5">
        <v>34</v>
      </c>
      <c r="N145" s="15"/>
      <c r="O145" s="15"/>
      <c r="P145" s="15"/>
      <c r="Q145" s="15"/>
      <c r="R145" s="15"/>
    </row>
    <row r="146" spans="1:18">
      <c r="A146" s="5">
        <v>142</v>
      </c>
      <c r="B146" s="5">
        <f>ROUND(A146*설정!$C$16/60,1)</f>
        <v>94.7</v>
      </c>
      <c r="C146" s="8">
        <v>47177</v>
      </c>
      <c r="D146" s="8">
        <v>55176</v>
      </c>
      <c r="E146" s="8">
        <v>68886</v>
      </c>
      <c r="F146" s="8">
        <v>103790</v>
      </c>
      <c r="G146" s="8">
        <v>337541</v>
      </c>
      <c r="H146" s="22">
        <f t="shared" si="2"/>
        <v>0.0110584856732603</v>
      </c>
      <c r="I146" s="5">
        <v>75</v>
      </c>
      <c r="J146" s="5">
        <v>61</v>
      </c>
      <c r="K146" s="5">
        <v>45</v>
      </c>
      <c r="L146" s="5">
        <v>40</v>
      </c>
      <c r="M146" s="5">
        <v>34</v>
      </c>
      <c r="N146" s="15"/>
      <c r="O146" s="15"/>
      <c r="P146" s="15"/>
      <c r="Q146" s="15"/>
      <c r="R146" s="15"/>
    </row>
    <row r="147" spans="1:18">
      <c r="A147" s="5">
        <v>143</v>
      </c>
      <c r="B147" s="5">
        <f>ROUND(A147*설정!$C$16/60,1)</f>
        <v>95.3</v>
      </c>
      <c r="C147" s="8">
        <v>47388</v>
      </c>
      <c r="D147" s="8">
        <v>55176</v>
      </c>
      <c r="E147" s="8">
        <v>70203</v>
      </c>
      <c r="F147" s="8">
        <v>104254</v>
      </c>
      <c r="G147" s="8">
        <v>343993</v>
      </c>
      <c r="H147" s="22">
        <f t="shared" si="2"/>
        <v>0.00447251838819773</v>
      </c>
      <c r="I147" s="5">
        <v>75</v>
      </c>
      <c r="J147" s="5">
        <v>61</v>
      </c>
      <c r="K147" s="5">
        <v>45</v>
      </c>
      <c r="L147" s="5">
        <v>40</v>
      </c>
      <c r="M147" s="5">
        <v>34</v>
      </c>
      <c r="N147" s="15"/>
      <c r="O147" s="15"/>
      <c r="P147" s="15"/>
      <c r="Q147" s="15"/>
      <c r="R147" s="15"/>
    </row>
    <row r="148" spans="1:18">
      <c r="A148" s="5">
        <v>144</v>
      </c>
      <c r="B148" s="5">
        <f>ROUND(A148*설정!$C$16/60,1)</f>
        <v>96</v>
      </c>
      <c r="C148" s="8">
        <v>47388</v>
      </c>
      <c r="D148" s="8">
        <v>55176</v>
      </c>
      <c r="E148" s="8">
        <v>70203</v>
      </c>
      <c r="F148" s="8">
        <v>104254</v>
      </c>
      <c r="G148" s="8">
        <v>343993</v>
      </c>
      <c r="H148" s="22">
        <f t="shared" si="2"/>
        <v>0</v>
      </c>
      <c r="I148" s="5">
        <v>75</v>
      </c>
      <c r="J148" s="5">
        <v>61</v>
      </c>
      <c r="K148" s="5">
        <v>45</v>
      </c>
      <c r="L148" s="5">
        <v>40</v>
      </c>
      <c r="M148" s="5">
        <v>34</v>
      </c>
      <c r="N148" s="15"/>
      <c r="O148" s="15"/>
      <c r="P148" s="15"/>
      <c r="Q148" s="15"/>
      <c r="R148" s="15"/>
    </row>
    <row r="149" spans="1:18">
      <c r="A149" s="5">
        <v>145</v>
      </c>
      <c r="B149" s="5">
        <f>ROUND(A149*설정!$C$16/60,1)</f>
        <v>96.7</v>
      </c>
      <c r="C149" s="8">
        <v>47388</v>
      </c>
      <c r="D149" s="8">
        <v>56282</v>
      </c>
      <c r="E149" s="8">
        <v>70912</v>
      </c>
      <c r="F149" s="8">
        <v>104254</v>
      </c>
      <c r="G149" s="8">
        <v>347469</v>
      </c>
      <c r="H149" s="22">
        <f t="shared" si="2"/>
        <v>0</v>
      </c>
      <c r="I149" s="5">
        <v>76</v>
      </c>
      <c r="J149" s="5">
        <v>61</v>
      </c>
      <c r="K149" s="5">
        <v>45</v>
      </c>
      <c r="L149" s="5">
        <v>40</v>
      </c>
      <c r="M149" s="5">
        <v>34</v>
      </c>
      <c r="N149" s="15"/>
      <c r="O149" s="15"/>
      <c r="P149" s="15"/>
      <c r="Q149" s="15"/>
      <c r="R149" s="15"/>
    </row>
    <row r="150" spans="1:18">
      <c r="A150" s="5">
        <v>146</v>
      </c>
      <c r="B150" s="5">
        <f>ROUND(A150*설정!$C$16/60,1)</f>
        <v>97.3</v>
      </c>
      <c r="C150" s="8">
        <v>48373</v>
      </c>
      <c r="D150" s="8">
        <v>56282</v>
      </c>
      <c r="E150" s="8">
        <v>70912</v>
      </c>
      <c r="F150" s="8">
        <v>106422</v>
      </c>
      <c r="G150" s="8">
        <v>347469</v>
      </c>
      <c r="H150" s="22">
        <f t="shared" si="2"/>
        <v>0.020785852958555</v>
      </c>
      <c r="I150" s="5">
        <v>76</v>
      </c>
      <c r="J150" s="5">
        <v>61</v>
      </c>
      <c r="K150" s="5">
        <v>45</v>
      </c>
      <c r="L150" s="5">
        <v>40</v>
      </c>
      <c r="M150" s="5">
        <v>34</v>
      </c>
      <c r="N150" s="15"/>
      <c r="O150" s="15"/>
      <c r="P150" s="15"/>
      <c r="Q150" s="15"/>
      <c r="R150" s="15"/>
    </row>
    <row r="151" spans="1:18">
      <c r="A151" s="5">
        <v>147</v>
      </c>
      <c r="B151" s="5">
        <f>ROUND(A151*설정!$C$16/60,1)</f>
        <v>98</v>
      </c>
      <c r="C151" s="8">
        <v>48373</v>
      </c>
      <c r="D151" s="8">
        <v>56282</v>
      </c>
      <c r="E151" s="8">
        <v>70912</v>
      </c>
      <c r="F151" s="8">
        <v>106422</v>
      </c>
      <c r="G151" s="8">
        <v>347469</v>
      </c>
      <c r="H151" s="22">
        <f t="shared" si="2"/>
        <v>0</v>
      </c>
      <c r="I151" s="5">
        <v>76</v>
      </c>
      <c r="J151" s="5">
        <v>61</v>
      </c>
      <c r="K151" s="5">
        <v>45</v>
      </c>
      <c r="L151" s="5">
        <v>40</v>
      </c>
      <c r="M151" s="5">
        <v>34</v>
      </c>
      <c r="N151" s="15"/>
      <c r="O151" s="15"/>
      <c r="P151" s="15"/>
      <c r="Q151" s="15"/>
      <c r="R151" s="15"/>
    </row>
    <row r="152" spans="1:18">
      <c r="A152" s="5">
        <v>148</v>
      </c>
      <c r="B152" s="5">
        <f>ROUND(A152*설정!$C$16/60,1)</f>
        <v>98.7</v>
      </c>
      <c r="C152" s="8">
        <v>48373</v>
      </c>
      <c r="D152" s="8">
        <v>57122</v>
      </c>
      <c r="E152" s="8">
        <v>70912</v>
      </c>
      <c r="F152" s="8">
        <v>106422</v>
      </c>
      <c r="G152" s="8">
        <v>347469</v>
      </c>
      <c r="H152" s="22">
        <f t="shared" si="2"/>
        <v>0</v>
      </c>
      <c r="I152" s="5">
        <v>76</v>
      </c>
      <c r="J152" s="5">
        <v>61</v>
      </c>
      <c r="K152" s="5">
        <v>45</v>
      </c>
      <c r="L152" s="5">
        <v>41</v>
      </c>
      <c r="M152" s="5">
        <v>34</v>
      </c>
      <c r="N152" s="15"/>
      <c r="O152" s="15"/>
      <c r="P152" s="15"/>
      <c r="Q152" s="15"/>
      <c r="R152" s="15"/>
    </row>
    <row r="153" spans="1:18">
      <c r="A153" s="5">
        <v>149</v>
      </c>
      <c r="B153" s="5">
        <f>ROUND(A153*설정!$C$16/60,1)</f>
        <v>99.3</v>
      </c>
      <c r="C153" s="8">
        <v>49118</v>
      </c>
      <c r="D153" s="8">
        <v>57122</v>
      </c>
      <c r="E153" s="8">
        <v>72259</v>
      </c>
      <c r="F153" s="8">
        <v>108059</v>
      </c>
      <c r="G153" s="8">
        <v>354068</v>
      </c>
      <c r="H153" s="22">
        <f t="shared" si="2"/>
        <v>0.0154011535360634</v>
      </c>
      <c r="I153" s="5">
        <v>76</v>
      </c>
      <c r="J153" s="5">
        <v>61</v>
      </c>
      <c r="K153" s="5">
        <v>45</v>
      </c>
      <c r="L153" s="5">
        <v>41</v>
      </c>
      <c r="M153" s="5">
        <v>34</v>
      </c>
      <c r="N153" s="15"/>
      <c r="O153" s="15"/>
      <c r="P153" s="15"/>
      <c r="Q153" s="15"/>
      <c r="R153" s="15"/>
    </row>
    <row r="154" spans="1:18">
      <c r="A154" s="5">
        <v>150</v>
      </c>
      <c r="B154" s="5">
        <f>ROUND(A154*설정!$C$16/60,1)</f>
        <v>100</v>
      </c>
      <c r="C154" s="8">
        <v>49118</v>
      </c>
      <c r="D154" s="8">
        <v>57730</v>
      </c>
      <c r="E154" s="8">
        <v>72259</v>
      </c>
      <c r="F154" s="8">
        <v>108059</v>
      </c>
      <c r="G154" s="8">
        <v>354068</v>
      </c>
      <c r="H154" s="22">
        <f t="shared" si="2"/>
        <v>0</v>
      </c>
      <c r="I154" s="5">
        <v>76</v>
      </c>
      <c r="J154" s="5">
        <v>61</v>
      </c>
      <c r="K154" s="5">
        <v>45</v>
      </c>
      <c r="L154" s="5">
        <v>41</v>
      </c>
      <c r="M154" s="5">
        <v>34</v>
      </c>
      <c r="N154" s="15"/>
      <c r="O154" s="15"/>
      <c r="P154" s="15"/>
      <c r="Q154" s="15"/>
      <c r="R154" s="15"/>
    </row>
    <row r="155" spans="1:18">
      <c r="A155" s="5">
        <v>151</v>
      </c>
      <c r="B155" s="5">
        <f>ROUND(A155*설정!$C$16/60,1)</f>
        <v>100.7</v>
      </c>
      <c r="C155" s="8">
        <v>49118</v>
      </c>
      <c r="D155" s="8">
        <v>57955</v>
      </c>
      <c r="E155" s="8">
        <v>72259</v>
      </c>
      <c r="F155" s="8">
        <v>108059</v>
      </c>
      <c r="G155" s="8">
        <v>354068</v>
      </c>
      <c r="H155" s="22">
        <f t="shared" si="2"/>
        <v>0</v>
      </c>
      <c r="I155" s="5">
        <v>76</v>
      </c>
      <c r="J155" s="5">
        <v>61</v>
      </c>
      <c r="K155" s="5">
        <v>45</v>
      </c>
      <c r="L155" s="5">
        <v>41</v>
      </c>
      <c r="M155" s="5">
        <v>34</v>
      </c>
      <c r="N155" s="15"/>
      <c r="O155" s="15"/>
      <c r="P155" s="15"/>
      <c r="Q155" s="15"/>
      <c r="R155" s="15"/>
    </row>
    <row r="156" spans="1:18">
      <c r="A156" s="5">
        <v>152</v>
      </c>
      <c r="B156" s="5">
        <f>ROUND(A156*설정!$C$16/60,1)</f>
        <v>101.3</v>
      </c>
      <c r="C156" s="8">
        <v>49118</v>
      </c>
      <c r="D156" s="8">
        <v>57955</v>
      </c>
      <c r="E156" s="8">
        <v>73277</v>
      </c>
      <c r="F156" s="8">
        <v>108059</v>
      </c>
      <c r="G156" s="8">
        <v>359055</v>
      </c>
      <c r="H156" s="22">
        <f t="shared" si="2"/>
        <v>0</v>
      </c>
      <c r="I156" s="5">
        <v>76</v>
      </c>
      <c r="J156" s="5">
        <v>61</v>
      </c>
      <c r="K156" s="5">
        <v>45</v>
      </c>
      <c r="L156" s="5">
        <v>41</v>
      </c>
      <c r="M156" s="5">
        <v>35</v>
      </c>
      <c r="N156" s="15"/>
      <c r="O156" s="15"/>
      <c r="P156" s="15"/>
      <c r="Q156" s="15"/>
      <c r="R156" s="15"/>
    </row>
    <row r="157" spans="1:18">
      <c r="A157" s="5">
        <v>153</v>
      </c>
      <c r="B157" s="5">
        <f>ROUND(A157*설정!$C$16/60,1)</f>
        <v>102</v>
      </c>
      <c r="C157" s="8">
        <v>49118</v>
      </c>
      <c r="D157" s="8">
        <v>57955</v>
      </c>
      <c r="E157" s="8">
        <v>73277</v>
      </c>
      <c r="F157" s="8">
        <v>110515</v>
      </c>
      <c r="G157" s="8">
        <v>359055</v>
      </c>
      <c r="H157" s="22">
        <f t="shared" si="2"/>
        <v>0</v>
      </c>
      <c r="I157" s="5">
        <v>76</v>
      </c>
      <c r="J157" s="5">
        <v>61</v>
      </c>
      <c r="K157" s="5">
        <v>45</v>
      </c>
      <c r="L157" s="5">
        <v>41</v>
      </c>
      <c r="M157" s="5">
        <v>35</v>
      </c>
      <c r="N157" s="15"/>
      <c r="O157" s="15"/>
      <c r="P157" s="15"/>
      <c r="Q157" s="15"/>
      <c r="R157" s="15"/>
    </row>
    <row r="158" spans="1:18">
      <c r="A158" s="5">
        <v>154</v>
      </c>
      <c r="B158" s="5">
        <f>ROUND(A158*설정!$C$16/60,1)</f>
        <v>102.7</v>
      </c>
      <c r="C158" s="8">
        <v>49118</v>
      </c>
      <c r="D158" s="8">
        <v>57955</v>
      </c>
      <c r="E158" s="8">
        <v>73277</v>
      </c>
      <c r="F158" s="8">
        <v>110515</v>
      </c>
      <c r="G158" s="8">
        <v>359055</v>
      </c>
      <c r="H158" s="22">
        <f t="shared" si="2"/>
        <v>0</v>
      </c>
      <c r="I158" s="5">
        <v>76</v>
      </c>
      <c r="J158" s="5">
        <v>62</v>
      </c>
      <c r="K158" s="5">
        <v>45</v>
      </c>
      <c r="L158" s="5">
        <v>41</v>
      </c>
      <c r="M158" s="5">
        <v>35</v>
      </c>
      <c r="N158" s="15"/>
      <c r="O158" s="15"/>
      <c r="P158" s="15"/>
      <c r="Q158" s="15"/>
      <c r="R158" s="15"/>
    </row>
    <row r="159" spans="1:18">
      <c r="A159" s="5">
        <v>155</v>
      </c>
      <c r="B159" s="5">
        <f>ROUND(A159*설정!$C$16/60,1)</f>
        <v>103.3</v>
      </c>
      <c r="C159" s="8">
        <v>49654</v>
      </c>
      <c r="D159" s="8">
        <v>57955</v>
      </c>
      <c r="E159" s="8">
        <v>73277</v>
      </c>
      <c r="F159" s="8">
        <v>111722</v>
      </c>
      <c r="G159" s="8">
        <v>359055</v>
      </c>
      <c r="H159" s="22">
        <f t="shared" si="2"/>
        <v>0.0109124964371514</v>
      </c>
      <c r="I159" s="5">
        <v>76</v>
      </c>
      <c r="J159" s="5">
        <v>62</v>
      </c>
      <c r="K159" s="5">
        <v>45</v>
      </c>
      <c r="L159" s="5">
        <v>41</v>
      </c>
      <c r="M159" s="5">
        <v>35</v>
      </c>
      <c r="N159" s="15"/>
      <c r="O159" s="15"/>
      <c r="P159" s="15"/>
      <c r="Q159" s="15"/>
      <c r="R159" s="15"/>
    </row>
    <row r="160" spans="1:18">
      <c r="A160" s="5">
        <v>156</v>
      </c>
      <c r="B160" s="5">
        <f>ROUND(A160*설정!$C$16/60,1)</f>
        <v>104</v>
      </c>
      <c r="C160" s="8">
        <v>49654</v>
      </c>
      <c r="D160" s="8">
        <v>57955</v>
      </c>
      <c r="E160" s="8">
        <v>73277</v>
      </c>
      <c r="F160" s="8">
        <v>111722</v>
      </c>
      <c r="G160" s="8">
        <v>359055</v>
      </c>
      <c r="H160" s="22">
        <f t="shared" si="2"/>
        <v>0</v>
      </c>
      <c r="I160" s="5">
        <v>76</v>
      </c>
      <c r="J160" s="5">
        <v>62</v>
      </c>
      <c r="K160" s="5">
        <v>45</v>
      </c>
      <c r="L160" s="5">
        <v>41</v>
      </c>
      <c r="M160" s="5">
        <v>35</v>
      </c>
      <c r="N160" s="15"/>
      <c r="O160" s="15"/>
      <c r="P160" s="15"/>
      <c r="Q160" s="15"/>
      <c r="R160" s="15"/>
    </row>
    <row r="161" spans="1:18">
      <c r="A161" s="5">
        <v>157</v>
      </c>
      <c r="B161" s="5">
        <f>ROUND(A161*설정!$C$16/60,1)</f>
        <v>104.7</v>
      </c>
      <c r="C161" s="8">
        <v>49654</v>
      </c>
      <c r="D161" s="8">
        <v>57955</v>
      </c>
      <c r="E161" s="8">
        <v>73277</v>
      </c>
      <c r="F161" s="8">
        <v>111722</v>
      </c>
      <c r="G161" s="8">
        <v>366383</v>
      </c>
      <c r="H161" s="22">
        <f t="shared" si="2"/>
        <v>0</v>
      </c>
      <c r="I161" s="5">
        <v>76</v>
      </c>
      <c r="J161" s="5">
        <v>62</v>
      </c>
      <c r="K161" s="5">
        <v>45</v>
      </c>
      <c r="L161" s="5">
        <v>41</v>
      </c>
      <c r="M161" s="5">
        <v>35</v>
      </c>
      <c r="N161" s="15"/>
      <c r="O161" s="15"/>
      <c r="P161" s="15"/>
      <c r="Q161" s="15"/>
      <c r="R161" s="15"/>
    </row>
    <row r="162" spans="1:18">
      <c r="A162" s="5">
        <v>158</v>
      </c>
      <c r="B162" s="5">
        <f>ROUND(A162*설정!$C$16/60,1)</f>
        <v>105.3</v>
      </c>
      <c r="C162" s="8">
        <v>49654</v>
      </c>
      <c r="D162" s="8">
        <v>57955</v>
      </c>
      <c r="E162" s="8">
        <v>73521</v>
      </c>
      <c r="F162" s="8">
        <v>111722</v>
      </c>
      <c r="G162" s="8">
        <v>367604</v>
      </c>
      <c r="H162" s="22">
        <f t="shared" si="2"/>
        <v>0</v>
      </c>
      <c r="I162" s="5">
        <v>77</v>
      </c>
      <c r="J162" s="5">
        <v>62</v>
      </c>
      <c r="K162" s="5">
        <v>45</v>
      </c>
      <c r="L162" s="5">
        <v>41</v>
      </c>
      <c r="M162" s="5">
        <v>35</v>
      </c>
      <c r="N162" s="15"/>
      <c r="O162" s="15"/>
      <c r="P162" s="15"/>
      <c r="Q162" s="15"/>
      <c r="R162" s="15"/>
    </row>
    <row r="163" spans="1:18">
      <c r="A163" s="5">
        <v>159</v>
      </c>
      <c r="B163" s="5">
        <f>ROUND(A163*설정!$C$16/60,1)</f>
        <v>106</v>
      </c>
      <c r="C163" s="8">
        <v>50680</v>
      </c>
      <c r="D163" s="8">
        <v>59105</v>
      </c>
      <c r="E163" s="8">
        <v>73521</v>
      </c>
      <c r="F163" s="8">
        <v>114029</v>
      </c>
      <c r="G163" s="8">
        <v>367604</v>
      </c>
      <c r="H163" s="22">
        <f t="shared" si="2"/>
        <v>0.0206629878761027</v>
      </c>
      <c r="I163" s="5">
        <v>77</v>
      </c>
      <c r="J163" s="5">
        <v>62</v>
      </c>
      <c r="K163" s="5">
        <v>46</v>
      </c>
      <c r="L163" s="5">
        <v>41</v>
      </c>
      <c r="M163" s="5">
        <v>35</v>
      </c>
      <c r="N163" s="15"/>
      <c r="O163" s="15"/>
      <c r="P163" s="15"/>
      <c r="Q163" s="15"/>
      <c r="R163" s="15"/>
    </row>
    <row r="164" spans="1:18">
      <c r="A164" s="5">
        <v>160</v>
      </c>
      <c r="B164" s="5">
        <f>ROUND(A164*설정!$C$16/60,1)</f>
        <v>106.7</v>
      </c>
      <c r="C164" s="8">
        <v>50895</v>
      </c>
      <c r="D164" s="8">
        <v>59105</v>
      </c>
      <c r="E164" s="8">
        <v>73521</v>
      </c>
      <c r="F164" s="8">
        <v>114515</v>
      </c>
      <c r="G164" s="8">
        <v>367604</v>
      </c>
      <c r="H164" s="22">
        <f t="shared" si="2"/>
        <v>0.0042423046566693</v>
      </c>
      <c r="I164" s="5">
        <v>77</v>
      </c>
      <c r="J164" s="5">
        <v>62</v>
      </c>
      <c r="K164" s="5">
        <v>46</v>
      </c>
      <c r="L164" s="5">
        <v>41</v>
      </c>
      <c r="M164" s="5">
        <v>35</v>
      </c>
      <c r="N164" s="15"/>
      <c r="O164" s="15"/>
      <c r="P164" s="15"/>
      <c r="Q164" s="15"/>
      <c r="R164" s="15"/>
    </row>
    <row r="165" spans="1:18">
      <c r="A165" s="5">
        <v>161</v>
      </c>
      <c r="B165" s="5">
        <f>ROUND(A165*설정!$C$16/60,1)</f>
        <v>107.3</v>
      </c>
      <c r="C165" s="8">
        <v>50895</v>
      </c>
      <c r="D165" s="8">
        <v>59726</v>
      </c>
      <c r="E165" s="8">
        <v>73521</v>
      </c>
      <c r="F165" s="8">
        <v>114515</v>
      </c>
      <c r="G165" s="8">
        <v>367604</v>
      </c>
      <c r="H165" s="22">
        <f t="shared" si="2"/>
        <v>0</v>
      </c>
      <c r="I165" s="5">
        <v>77</v>
      </c>
      <c r="J165" s="5">
        <v>62</v>
      </c>
      <c r="K165" s="5">
        <v>46</v>
      </c>
      <c r="L165" s="5">
        <v>41</v>
      </c>
      <c r="M165" s="5">
        <v>35</v>
      </c>
      <c r="N165" s="15"/>
      <c r="O165" s="15"/>
      <c r="P165" s="15"/>
      <c r="Q165" s="15"/>
      <c r="R165" s="15"/>
    </row>
    <row r="166" spans="1:18">
      <c r="A166" s="5">
        <v>162</v>
      </c>
      <c r="B166" s="5">
        <f>ROUND(A166*설정!$C$16/60,1)</f>
        <v>108</v>
      </c>
      <c r="C166" s="8">
        <v>50895</v>
      </c>
      <c r="D166" s="8">
        <v>59726</v>
      </c>
      <c r="E166" s="8">
        <v>74901</v>
      </c>
      <c r="F166" s="8">
        <v>114515</v>
      </c>
      <c r="G166" s="8">
        <v>374506</v>
      </c>
      <c r="H166" s="22">
        <f t="shared" si="2"/>
        <v>0</v>
      </c>
      <c r="I166" s="5">
        <v>77</v>
      </c>
      <c r="J166" s="5">
        <v>62</v>
      </c>
      <c r="K166" s="5">
        <v>46</v>
      </c>
      <c r="L166" s="5">
        <v>41</v>
      </c>
      <c r="M166" s="5">
        <v>35</v>
      </c>
      <c r="N166" s="15"/>
      <c r="O166" s="15"/>
      <c r="P166" s="15"/>
      <c r="Q166" s="15"/>
      <c r="R166" s="15"/>
    </row>
    <row r="167" spans="1:18">
      <c r="A167" s="5">
        <v>163</v>
      </c>
      <c r="B167" s="5">
        <f>ROUND(A167*설정!$C$16/60,1)</f>
        <v>108.7</v>
      </c>
      <c r="C167" s="8">
        <v>50895</v>
      </c>
      <c r="D167" s="8">
        <v>59726</v>
      </c>
      <c r="E167" s="8">
        <v>74901</v>
      </c>
      <c r="F167" s="8">
        <v>114515</v>
      </c>
      <c r="G167" s="8">
        <v>374506</v>
      </c>
      <c r="H167" s="22">
        <f t="shared" si="2"/>
        <v>0</v>
      </c>
      <c r="I167" s="5">
        <v>78</v>
      </c>
      <c r="J167" s="5">
        <v>62</v>
      </c>
      <c r="K167" s="5">
        <v>46</v>
      </c>
      <c r="L167" s="5">
        <v>41</v>
      </c>
      <c r="M167" s="5">
        <v>35</v>
      </c>
      <c r="N167" s="15"/>
      <c r="O167" s="15"/>
      <c r="P167" s="15"/>
      <c r="Q167" s="15"/>
      <c r="R167" s="15"/>
    </row>
    <row r="168" spans="1:18">
      <c r="A168" s="5">
        <v>164</v>
      </c>
      <c r="B168" s="5">
        <f>ROUND(A168*설정!$C$16/60,1)</f>
        <v>109.3</v>
      </c>
      <c r="C168" s="8">
        <v>51933</v>
      </c>
      <c r="D168" s="8">
        <v>60605</v>
      </c>
      <c r="E168" s="8">
        <v>74901</v>
      </c>
      <c r="F168" s="8">
        <v>116850</v>
      </c>
      <c r="G168" s="8">
        <v>374506</v>
      </c>
      <c r="H168" s="22">
        <f t="shared" si="2"/>
        <v>0.0203949307397584</v>
      </c>
      <c r="I168" s="5">
        <v>78</v>
      </c>
      <c r="J168" s="5">
        <v>62</v>
      </c>
      <c r="K168" s="5">
        <v>46</v>
      </c>
      <c r="L168" s="5">
        <v>41</v>
      </c>
      <c r="M168" s="5">
        <v>35</v>
      </c>
      <c r="N168" s="15"/>
      <c r="O168" s="15"/>
      <c r="P168" s="15"/>
      <c r="Q168" s="15"/>
      <c r="R168" s="15"/>
    </row>
    <row r="169" spans="1:18">
      <c r="A169" s="5">
        <v>165</v>
      </c>
      <c r="B169" s="5">
        <f>ROUND(A169*설정!$C$16/60,1)</f>
        <v>110</v>
      </c>
      <c r="C169" s="8">
        <v>51933</v>
      </c>
      <c r="D169" s="8">
        <v>60834</v>
      </c>
      <c r="E169" s="8">
        <v>75898</v>
      </c>
      <c r="F169" s="8">
        <v>116850</v>
      </c>
      <c r="G169" s="8">
        <v>379491</v>
      </c>
      <c r="H169" s="22">
        <f t="shared" si="2"/>
        <v>0</v>
      </c>
      <c r="I169" s="5">
        <v>78</v>
      </c>
      <c r="J169" s="5">
        <v>63</v>
      </c>
      <c r="K169" s="5">
        <v>46</v>
      </c>
      <c r="L169" s="5">
        <v>41</v>
      </c>
      <c r="M169" s="5">
        <v>35</v>
      </c>
      <c r="N169" s="15"/>
      <c r="O169" s="15"/>
      <c r="P169" s="15"/>
      <c r="Q169" s="15"/>
      <c r="R169" s="15"/>
    </row>
    <row r="170" spans="1:18">
      <c r="A170" s="5">
        <v>166</v>
      </c>
      <c r="B170" s="5">
        <f>ROUND(A170*설정!$C$16/60,1)</f>
        <v>110.7</v>
      </c>
      <c r="C170" s="8">
        <v>52496</v>
      </c>
      <c r="D170" s="8">
        <v>60834</v>
      </c>
      <c r="E170" s="8">
        <v>75898</v>
      </c>
      <c r="F170" s="8">
        <v>118116</v>
      </c>
      <c r="G170" s="8">
        <v>379491</v>
      </c>
      <c r="H170" s="22">
        <f t="shared" si="2"/>
        <v>0.0108408911482103</v>
      </c>
      <c r="I170" s="5">
        <v>78</v>
      </c>
      <c r="J170" s="5">
        <v>63</v>
      </c>
      <c r="K170" s="5">
        <v>46</v>
      </c>
      <c r="L170" s="5">
        <v>41</v>
      </c>
      <c r="M170" s="5">
        <v>35</v>
      </c>
      <c r="N170" s="15"/>
      <c r="O170" s="15"/>
      <c r="P170" s="15"/>
      <c r="Q170" s="15"/>
      <c r="R170" s="15"/>
    </row>
    <row r="171" spans="1:18">
      <c r="A171" s="5">
        <v>167</v>
      </c>
      <c r="B171" s="5">
        <f>ROUND(A171*설정!$C$16/60,1)</f>
        <v>111.3</v>
      </c>
      <c r="C171" s="8">
        <v>52496</v>
      </c>
      <c r="D171" s="8">
        <v>60834</v>
      </c>
      <c r="E171" s="8">
        <v>75898</v>
      </c>
      <c r="F171" s="8">
        <v>118116</v>
      </c>
      <c r="G171" s="8">
        <v>379491</v>
      </c>
      <c r="H171" s="22">
        <f t="shared" si="2"/>
        <v>0</v>
      </c>
      <c r="I171" s="5">
        <v>78</v>
      </c>
      <c r="J171" s="5">
        <v>63</v>
      </c>
      <c r="K171" s="5">
        <v>46</v>
      </c>
      <c r="L171" s="5">
        <v>41</v>
      </c>
      <c r="M171" s="5">
        <v>35</v>
      </c>
      <c r="N171" s="15"/>
      <c r="O171" s="15"/>
      <c r="P171" s="15"/>
      <c r="Q171" s="15"/>
      <c r="R171" s="15"/>
    </row>
    <row r="172" spans="1:18">
      <c r="A172" s="5">
        <v>168</v>
      </c>
      <c r="B172" s="5">
        <f>ROUND(A172*설정!$C$16/60,1)</f>
        <v>112</v>
      </c>
      <c r="C172" s="8">
        <v>52496</v>
      </c>
      <c r="D172" s="8">
        <v>60834</v>
      </c>
      <c r="E172" s="8">
        <v>75898</v>
      </c>
      <c r="F172" s="8">
        <v>118116</v>
      </c>
      <c r="G172" s="8">
        <v>379491</v>
      </c>
      <c r="H172" s="22">
        <f t="shared" si="2"/>
        <v>0</v>
      </c>
      <c r="I172" s="5">
        <v>78</v>
      </c>
      <c r="J172" s="5">
        <v>63</v>
      </c>
      <c r="K172" s="5">
        <v>46</v>
      </c>
      <c r="L172" s="5">
        <v>42</v>
      </c>
      <c r="M172" s="5">
        <v>35</v>
      </c>
      <c r="N172" s="15"/>
      <c r="O172" s="15"/>
      <c r="P172" s="15"/>
      <c r="Q172" s="15"/>
      <c r="R172" s="15"/>
    </row>
    <row r="173" spans="1:18">
      <c r="A173" s="5">
        <v>169</v>
      </c>
      <c r="B173" s="5">
        <f>ROUND(A173*설정!$C$16/60,1)</f>
        <v>112.7</v>
      </c>
      <c r="C173" s="8">
        <v>53291</v>
      </c>
      <c r="D173" s="8">
        <v>60834</v>
      </c>
      <c r="E173" s="8">
        <v>75898</v>
      </c>
      <c r="F173" s="8">
        <v>119906</v>
      </c>
      <c r="G173" s="8">
        <v>379491</v>
      </c>
      <c r="H173" s="22">
        <f t="shared" si="2"/>
        <v>0.0151440109722645</v>
      </c>
      <c r="I173" s="5">
        <v>78</v>
      </c>
      <c r="J173" s="5">
        <v>63</v>
      </c>
      <c r="K173" s="5">
        <v>46</v>
      </c>
      <c r="L173" s="5">
        <v>42</v>
      </c>
      <c r="M173" s="5">
        <v>35</v>
      </c>
      <c r="N173" s="15"/>
      <c r="O173" s="15"/>
      <c r="P173" s="15"/>
      <c r="Q173" s="15"/>
      <c r="R173" s="15"/>
    </row>
    <row r="174" spans="1:18">
      <c r="A174" s="5">
        <v>170</v>
      </c>
      <c r="B174" s="5">
        <f>ROUND(A174*설정!$C$16/60,1)</f>
        <v>113.3</v>
      </c>
      <c r="C174" s="8">
        <v>53291</v>
      </c>
      <c r="D174" s="8">
        <v>62029</v>
      </c>
      <c r="E174" s="8">
        <v>77309</v>
      </c>
      <c r="F174" s="8">
        <v>119906</v>
      </c>
      <c r="G174" s="8">
        <v>386547</v>
      </c>
      <c r="H174" s="22">
        <f t="shared" si="2"/>
        <v>0</v>
      </c>
      <c r="I174" s="5">
        <v>78</v>
      </c>
      <c r="J174" s="5">
        <v>63</v>
      </c>
      <c r="K174" s="5">
        <v>46</v>
      </c>
      <c r="L174" s="5">
        <v>42</v>
      </c>
      <c r="M174" s="5">
        <v>35</v>
      </c>
      <c r="N174" s="15"/>
      <c r="O174" s="15"/>
      <c r="P174" s="15"/>
      <c r="Q174" s="15"/>
      <c r="R174" s="15"/>
    </row>
    <row r="175" spans="1:18">
      <c r="A175" s="5">
        <v>171</v>
      </c>
      <c r="B175" s="5">
        <f>ROUND(A175*설정!$C$16/60,1)</f>
        <v>114</v>
      </c>
      <c r="C175" s="8">
        <v>53291</v>
      </c>
      <c r="D175" s="8">
        <v>62029</v>
      </c>
      <c r="E175" s="8">
        <v>77309</v>
      </c>
      <c r="F175" s="8">
        <v>119906</v>
      </c>
      <c r="G175" s="8">
        <v>386547</v>
      </c>
      <c r="H175" s="22">
        <f t="shared" si="2"/>
        <v>0</v>
      </c>
      <c r="I175" s="5">
        <v>78</v>
      </c>
      <c r="J175" s="5">
        <v>63</v>
      </c>
      <c r="K175" s="5">
        <v>46</v>
      </c>
      <c r="L175" s="5">
        <v>42</v>
      </c>
      <c r="M175" s="5">
        <v>35</v>
      </c>
      <c r="N175" s="15"/>
      <c r="O175" s="15"/>
      <c r="P175" s="15"/>
      <c r="Q175" s="15"/>
      <c r="R175" s="15"/>
    </row>
    <row r="176" spans="1:18">
      <c r="A176" s="5">
        <v>172</v>
      </c>
      <c r="B176" s="5">
        <f>ROUND(A176*설정!$C$16/60,1)</f>
        <v>114.7</v>
      </c>
      <c r="C176" s="8">
        <v>53291</v>
      </c>
      <c r="D176" s="8">
        <v>62674</v>
      </c>
      <c r="E176" s="8">
        <v>77309</v>
      </c>
      <c r="F176" s="8">
        <v>119906</v>
      </c>
      <c r="G176" s="8">
        <v>386547</v>
      </c>
      <c r="H176" s="22">
        <f t="shared" si="2"/>
        <v>0</v>
      </c>
      <c r="I176" s="5">
        <v>78</v>
      </c>
      <c r="J176" s="5">
        <v>63</v>
      </c>
      <c r="K176" s="5">
        <v>46</v>
      </c>
      <c r="L176" s="5">
        <v>42</v>
      </c>
      <c r="M176" s="5">
        <v>35</v>
      </c>
      <c r="N176" s="15"/>
      <c r="O176" s="15"/>
      <c r="P176" s="15"/>
      <c r="Q176" s="15"/>
      <c r="R176" s="15"/>
    </row>
    <row r="177" spans="1:18">
      <c r="A177" s="5">
        <v>173</v>
      </c>
      <c r="B177" s="5">
        <f>ROUND(A177*설정!$C$16/60,1)</f>
        <v>115.3</v>
      </c>
      <c r="C177" s="8">
        <v>53291</v>
      </c>
      <c r="D177" s="8">
        <v>62674</v>
      </c>
      <c r="E177" s="8">
        <v>77309</v>
      </c>
      <c r="F177" s="8">
        <v>119906</v>
      </c>
      <c r="G177" s="8">
        <v>386547</v>
      </c>
      <c r="H177" s="22">
        <f t="shared" si="2"/>
        <v>0</v>
      </c>
      <c r="I177" s="5">
        <v>78</v>
      </c>
      <c r="J177" s="5">
        <v>63</v>
      </c>
      <c r="K177" s="5">
        <v>46</v>
      </c>
      <c r="L177" s="5">
        <v>42</v>
      </c>
      <c r="M177" s="5">
        <v>36</v>
      </c>
      <c r="N177" s="15"/>
      <c r="O177" s="15"/>
      <c r="P177" s="15"/>
      <c r="Q177" s="15"/>
      <c r="R177" s="15"/>
    </row>
    <row r="178" spans="1:18">
      <c r="A178" s="5">
        <v>174</v>
      </c>
      <c r="B178" s="5">
        <f>ROUND(A178*설정!$C$16/60,1)</f>
        <v>116</v>
      </c>
      <c r="C178" s="8">
        <v>53291</v>
      </c>
      <c r="D178" s="8">
        <v>62674</v>
      </c>
      <c r="E178" s="8">
        <v>78383</v>
      </c>
      <c r="F178" s="8">
        <v>122570</v>
      </c>
      <c r="G178" s="8">
        <v>391916</v>
      </c>
      <c r="H178" s="22">
        <f t="shared" si="2"/>
        <v>0</v>
      </c>
      <c r="I178" s="5">
        <v>78</v>
      </c>
      <c r="J178" s="5">
        <v>63</v>
      </c>
      <c r="K178" s="5">
        <v>47</v>
      </c>
      <c r="L178" s="5">
        <v>42</v>
      </c>
      <c r="M178" s="5">
        <v>36</v>
      </c>
      <c r="N178" s="15"/>
      <c r="O178" s="15"/>
      <c r="P178" s="15"/>
      <c r="Q178" s="15"/>
      <c r="R178" s="15"/>
    </row>
    <row r="179" spans="1:18">
      <c r="A179" s="5">
        <v>175</v>
      </c>
      <c r="B179" s="5">
        <f>ROUND(A179*설정!$C$16/60,1)</f>
        <v>116.7</v>
      </c>
      <c r="C179" s="8">
        <v>53512</v>
      </c>
      <c r="D179" s="8">
        <v>62674</v>
      </c>
      <c r="E179" s="8">
        <v>78383</v>
      </c>
      <c r="F179" s="8">
        <v>123077</v>
      </c>
      <c r="G179" s="8">
        <v>391916</v>
      </c>
      <c r="H179" s="22">
        <f t="shared" si="2"/>
        <v>0.00414704171436076</v>
      </c>
      <c r="I179" s="5">
        <v>78</v>
      </c>
      <c r="J179" s="5">
        <v>63</v>
      </c>
      <c r="K179" s="5">
        <v>47</v>
      </c>
      <c r="L179" s="5">
        <v>42</v>
      </c>
      <c r="M179" s="5">
        <v>36</v>
      </c>
      <c r="N179" s="15"/>
      <c r="O179" s="15"/>
      <c r="P179" s="15"/>
      <c r="Q179" s="15"/>
      <c r="R179" s="15"/>
    </row>
    <row r="180" spans="1:18">
      <c r="A180" s="5">
        <v>176</v>
      </c>
      <c r="B180" s="5">
        <f>ROUND(A180*설정!$C$16/60,1)</f>
        <v>117.3</v>
      </c>
      <c r="C180" s="8">
        <v>53512</v>
      </c>
      <c r="D180" s="8">
        <v>62674</v>
      </c>
      <c r="E180" s="8">
        <v>78383</v>
      </c>
      <c r="F180" s="8">
        <v>123077</v>
      </c>
      <c r="G180" s="8">
        <v>391916</v>
      </c>
      <c r="H180" s="22">
        <f t="shared" si="2"/>
        <v>0</v>
      </c>
      <c r="I180" s="5">
        <v>78</v>
      </c>
      <c r="J180" s="5">
        <v>63</v>
      </c>
      <c r="K180" s="5">
        <v>47</v>
      </c>
      <c r="L180" s="5">
        <v>42</v>
      </c>
      <c r="M180" s="5">
        <v>36</v>
      </c>
      <c r="N180" s="15"/>
      <c r="O180" s="15"/>
      <c r="P180" s="15"/>
      <c r="Q180" s="15"/>
      <c r="R180" s="15"/>
    </row>
    <row r="181" spans="1:18">
      <c r="A181" s="5">
        <v>177</v>
      </c>
      <c r="B181" s="5">
        <f>ROUND(A181*설정!$C$16/60,1)</f>
        <v>118</v>
      </c>
      <c r="C181" s="8">
        <v>53512</v>
      </c>
      <c r="D181" s="8">
        <v>62674</v>
      </c>
      <c r="E181" s="8">
        <v>79161</v>
      </c>
      <c r="F181" s="8">
        <v>123077</v>
      </c>
      <c r="G181" s="8">
        <v>395805</v>
      </c>
      <c r="H181" s="22">
        <f t="shared" si="2"/>
        <v>0</v>
      </c>
      <c r="I181" s="5">
        <v>78</v>
      </c>
      <c r="J181" s="5">
        <v>63</v>
      </c>
      <c r="K181" s="5">
        <v>47</v>
      </c>
      <c r="L181" s="5">
        <v>42</v>
      </c>
      <c r="M181" s="5">
        <v>36</v>
      </c>
      <c r="N181" s="15"/>
      <c r="O181" s="15"/>
      <c r="P181" s="15"/>
      <c r="Q181" s="15"/>
      <c r="R181" s="15"/>
    </row>
    <row r="182" spans="1:18">
      <c r="A182" s="5">
        <v>178</v>
      </c>
      <c r="B182" s="5">
        <f>ROUND(A182*설정!$C$16/60,1)</f>
        <v>118.7</v>
      </c>
      <c r="C182" s="8">
        <v>53512</v>
      </c>
      <c r="D182" s="8">
        <v>62674</v>
      </c>
      <c r="E182" s="8">
        <v>79161</v>
      </c>
      <c r="F182" s="8">
        <v>123077</v>
      </c>
      <c r="G182" s="8">
        <v>395805</v>
      </c>
      <c r="H182" s="22">
        <f t="shared" si="2"/>
        <v>0</v>
      </c>
      <c r="I182" s="5">
        <v>79</v>
      </c>
      <c r="J182" s="5">
        <v>63</v>
      </c>
      <c r="K182" s="5">
        <v>47</v>
      </c>
      <c r="L182" s="5">
        <v>42</v>
      </c>
      <c r="M182" s="5">
        <v>36</v>
      </c>
      <c r="N182" s="15"/>
      <c r="O182" s="15"/>
      <c r="P182" s="15"/>
      <c r="Q182" s="15"/>
      <c r="R182" s="15"/>
    </row>
    <row r="183" spans="1:18">
      <c r="A183" s="5">
        <v>179</v>
      </c>
      <c r="B183" s="5">
        <f>ROUND(A183*설정!$C$16/60,1)</f>
        <v>119.3</v>
      </c>
      <c r="C183" s="8">
        <v>54591</v>
      </c>
      <c r="D183" s="8">
        <v>62674</v>
      </c>
      <c r="E183" s="8">
        <v>79161</v>
      </c>
      <c r="F183" s="8">
        <v>125560</v>
      </c>
      <c r="G183" s="8">
        <v>395805</v>
      </c>
      <c r="H183" s="22">
        <f t="shared" si="2"/>
        <v>0.0201637015996412</v>
      </c>
      <c r="I183" s="5">
        <v>79</v>
      </c>
      <c r="J183" s="5">
        <v>63</v>
      </c>
      <c r="K183" s="5">
        <v>47</v>
      </c>
      <c r="L183" s="5">
        <v>42</v>
      </c>
      <c r="M183" s="5">
        <v>36</v>
      </c>
      <c r="N183" s="15"/>
      <c r="O183" s="15"/>
      <c r="P183" s="15"/>
      <c r="Q183" s="15"/>
      <c r="R183" s="15"/>
    </row>
    <row r="184" spans="1:18">
      <c r="A184" s="5">
        <v>180</v>
      </c>
      <c r="B184" s="5">
        <f>ROUND(A184*설정!$C$16/60,1)</f>
        <v>120</v>
      </c>
      <c r="C184" s="8">
        <v>54591</v>
      </c>
      <c r="D184" s="8">
        <v>62674</v>
      </c>
      <c r="E184" s="8">
        <v>79161</v>
      </c>
      <c r="F184" s="8">
        <v>125560</v>
      </c>
      <c r="G184" s="8">
        <v>395805</v>
      </c>
      <c r="H184" s="22">
        <f t="shared" si="2"/>
        <v>0</v>
      </c>
      <c r="I184" s="5">
        <v>79</v>
      </c>
      <c r="J184" s="5">
        <v>63</v>
      </c>
      <c r="K184" s="5">
        <v>47</v>
      </c>
      <c r="L184" s="5">
        <v>42</v>
      </c>
      <c r="M184" s="5">
        <v>36</v>
      </c>
      <c r="N184" s="15"/>
      <c r="O184" s="15"/>
      <c r="P184" s="15"/>
      <c r="Q184" s="15"/>
      <c r="R184" s="15"/>
    </row>
    <row r="185" spans="1:18">
      <c r="A185" s="5">
        <v>181</v>
      </c>
      <c r="B185" s="5">
        <f>ROUND(A185*설정!$C$16/60,1)</f>
        <v>120.7</v>
      </c>
      <c r="C185" s="8">
        <v>54591</v>
      </c>
      <c r="D185" s="8">
        <v>62674</v>
      </c>
      <c r="E185" s="8">
        <v>79161</v>
      </c>
      <c r="F185" s="8">
        <v>125560</v>
      </c>
      <c r="G185" s="8">
        <v>395805</v>
      </c>
      <c r="H185" s="22">
        <f t="shared" si="2"/>
        <v>0</v>
      </c>
      <c r="I185" s="5">
        <v>79</v>
      </c>
      <c r="J185" s="5">
        <v>64</v>
      </c>
      <c r="K185" s="5">
        <v>47</v>
      </c>
      <c r="L185" s="5">
        <v>42</v>
      </c>
      <c r="M185" s="5">
        <v>36</v>
      </c>
      <c r="N185" s="15"/>
      <c r="O185" s="15"/>
      <c r="P185" s="15"/>
      <c r="Q185" s="15"/>
      <c r="R185" s="15"/>
    </row>
    <row r="186" spans="1:18">
      <c r="A186" s="5">
        <v>182</v>
      </c>
      <c r="B186" s="5">
        <f>ROUND(A186*설정!$C$16/60,1)</f>
        <v>121.3</v>
      </c>
      <c r="C186" s="8">
        <v>55176</v>
      </c>
      <c r="D186" s="8">
        <v>63896</v>
      </c>
      <c r="E186" s="8">
        <v>79161</v>
      </c>
      <c r="F186" s="8">
        <v>126906</v>
      </c>
      <c r="G186" s="8">
        <v>403722</v>
      </c>
      <c r="H186" s="22">
        <f t="shared" si="2"/>
        <v>0.0107160520964995</v>
      </c>
      <c r="I186" s="5">
        <v>79</v>
      </c>
      <c r="J186" s="5">
        <v>64</v>
      </c>
      <c r="K186" s="5">
        <v>47</v>
      </c>
      <c r="L186" s="5">
        <v>42</v>
      </c>
      <c r="M186" s="5">
        <v>36</v>
      </c>
      <c r="N186" s="15"/>
      <c r="O186" s="15"/>
      <c r="P186" s="15"/>
      <c r="Q186" s="15"/>
      <c r="R186" s="15"/>
    </row>
    <row r="187" spans="1:18">
      <c r="A187" s="5">
        <v>183</v>
      </c>
      <c r="B187" s="5">
        <f>ROUND(A187*설정!$C$16/60,1)</f>
        <v>122</v>
      </c>
      <c r="C187" s="8">
        <v>55176</v>
      </c>
      <c r="D187" s="8">
        <v>63896</v>
      </c>
      <c r="E187" s="8">
        <v>79161</v>
      </c>
      <c r="F187" s="8">
        <v>126906</v>
      </c>
      <c r="G187" s="8">
        <v>403722</v>
      </c>
      <c r="H187" s="22">
        <f t="shared" si="2"/>
        <v>0</v>
      </c>
      <c r="I187" s="5">
        <v>79</v>
      </c>
      <c r="J187" s="5">
        <v>64</v>
      </c>
      <c r="K187" s="5">
        <v>47</v>
      </c>
      <c r="L187" s="5">
        <v>42</v>
      </c>
      <c r="M187" s="5">
        <v>36</v>
      </c>
      <c r="N187" s="15"/>
      <c r="O187" s="15"/>
      <c r="P187" s="15"/>
      <c r="Q187" s="15"/>
      <c r="R187" s="15"/>
    </row>
    <row r="188" spans="1:18">
      <c r="A188" s="5">
        <v>184</v>
      </c>
      <c r="B188" s="5">
        <f>ROUND(A188*설정!$C$16/60,1)</f>
        <v>122.7</v>
      </c>
      <c r="C188" s="8">
        <v>55176</v>
      </c>
      <c r="D188" s="8">
        <v>63896</v>
      </c>
      <c r="E188" s="8">
        <v>79161</v>
      </c>
      <c r="F188" s="8">
        <v>126906</v>
      </c>
      <c r="G188" s="8">
        <v>403722</v>
      </c>
      <c r="H188" s="22">
        <f t="shared" si="2"/>
        <v>0</v>
      </c>
      <c r="I188" s="5">
        <v>79</v>
      </c>
      <c r="J188" s="5">
        <v>64</v>
      </c>
      <c r="K188" s="5">
        <v>47</v>
      </c>
      <c r="L188" s="5">
        <v>42</v>
      </c>
      <c r="M188" s="5">
        <v>36</v>
      </c>
      <c r="N188" s="15"/>
      <c r="O188" s="15"/>
      <c r="P188" s="15"/>
      <c r="Q188" s="15"/>
      <c r="R188" s="15"/>
    </row>
    <row r="189" spans="1:18">
      <c r="A189" s="5">
        <v>185</v>
      </c>
      <c r="B189" s="5">
        <f>ROUND(A189*설정!$C$16/60,1)</f>
        <v>123.3</v>
      </c>
      <c r="C189" s="8">
        <v>55176</v>
      </c>
      <c r="D189" s="8">
        <v>63896</v>
      </c>
      <c r="E189" s="8">
        <v>79161</v>
      </c>
      <c r="F189" s="8">
        <v>126906</v>
      </c>
      <c r="G189" s="8">
        <v>403722</v>
      </c>
      <c r="H189" s="22">
        <f t="shared" si="2"/>
        <v>0</v>
      </c>
      <c r="I189" s="5">
        <v>79</v>
      </c>
      <c r="J189" s="5">
        <v>64</v>
      </c>
      <c r="K189" s="5">
        <v>47</v>
      </c>
      <c r="L189" s="5">
        <v>42</v>
      </c>
      <c r="M189" s="5">
        <v>36</v>
      </c>
      <c r="N189" s="15"/>
      <c r="O189" s="15"/>
      <c r="P189" s="15"/>
      <c r="Q189" s="15"/>
      <c r="R189" s="15"/>
    </row>
    <row r="190" spans="1:18">
      <c r="A190" s="5">
        <v>186</v>
      </c>
      <c r="B190" s="5">
        <f>ROUND(A190*설정!$C$16/60,1)</f>
        <v>124</v>
      </c>
      <c r="C190" s="8">
        <v>55176</v>
      </c>
      <c r="D190" s="8">
        <v>64822</v>
      </c>
      <c r="E190" s="8">
        <v>79161</v>
      </c>
      <c r="F190" s="8">
        <v>126906</v>
      </c>
      <c r="G190" s="8">
        <v>403722</v>
      </c>
      <c r="H190" s="22">
        <f t="shared" si="2"/>
        <v>0</v>
      </c>
      <c r="I190" s="5">
        <v>80</v>
      </c>
      <c r="J190" s="5">
        <v>64</v>
      </c>
      <c r="K190" s="5">
        <v>47</v>
      </c>
      <c r="L190" s="5">
        <v>42</v>
      </c>
      <c r="M190" s="5">
        <v>36</v>
      </c>
      <c r="N190" s="15"/>
      <c r="O190" s="15"/>
      <c r="P190" s="15"/>
      <c r="Q190" s="15"/>
      <c r="R190" s="15"/>
    </row>
    <row r="191" spans="1:18">
      <c r="A191" s="5">
        <v>187</v>
      </c>
      <c r="B191" s="5">
        <f>ROUND(A191*설정!$C$16/60,1)</f>
        <v>124.7</v>
      </c>
      <c r="C191" s="8">
        <v>56282</v>
      </c>
      <c r="D191" s="8">
        <v>65057</v>
      </c>
      <c r="E191" s="8">
        <v>79161</v>
      </c>
      <c r="F191" s="8">
        <v>129449</v>
      </c>
      <c r="G191" s="8">
        <v>403722</v>
      </c>
      <c r="H191" s="22">
        <f t="shared" si="2"/>
        <v>0.0200449470784398</v>
      </c>
      <c r="I191" s="5">
        <v>80</v>
      </c>
      <c r="J191" s="5">
        <v>64</v>
      </c>
      <c r="K191" s="5">
        <v>47</v>
      </c>
      <c r="L191" s="5">
        <v>42</v>
      </c>
      <c r="M191" s="5">
        <v>36</v>
      </c>
      <c r="N191" s="15"/>
      <c r="O191" s="15"/>
      <c r="P191" s="15"/>
      <c r="Q191" s="15"/>
      <c r="R191" s="15"/>
    </row>
    <row r="192" spans="1:18">
      <c r="A192" s="5">
        <v>188</v>
      </c>
      <c r="B192" s="5">
        <f>ROUND(A192*설정!$C$16/60,1)</f>
        <v>125.3</v>
      </c>
      <c r="C192" s="8">
        <v>56282</v>
      </c>
      <c r="D192" s="8">
        <v>65057</v>
      </c>
      <c r="E192" s="8">
        <v>80624</v>
      </c>
      <c r="F192" s="8">
        <v>129449</v>
      </c>
      <c r="G192" s="8">
        <v>411181</v>
      </c>
      <c r="H192" s="22">
        <f t="shared" si="2"/>
        <v>0</v>
      </c>
      <c r="I192" s="5">
        <v>80</v>
      </c>
      <c r="J192" s="5">
        <v>64</v>
      </c>
      <c r="K192" s="5">
        <v>47</v>
      </c>
      <c r="L192" s="5">
        <v>42</v>
      </c>
      <c r="M192" s="5">
        <v>36</v>
      </c>
      <c r="N192" s="15"/>
      <c r="O192" s="15"/>
      <c r="P192" s="15"/>
      <c r="Q192" s="15"/>
      <c r="R192" s="15"/>
    </row>
    <row r="193" spans="1:18">
      <c r="A193" s="5">
        <v>189</v>
      </c>
      <c r="B193" s="5">
        <f>ROUND(A193*설정!$C$16/60,1)</f>
        <v>126</v>
      </c>
      <c r="C193" s="8">
        <v>56282</v>
      </c>
      <c r="D193" s="8">
        <v>65057</v>
      </c>
      <c r="E193" s="8">
        <v>80624</v>
      </c>
      <c r="F193" s="8">
        <v>129449</v>
      </c>
      <c r="G193" s="8">
        <v>411181</v>
      </c>
      <c r="H193" s="22">
        <f t="shared" si="2"/>
        <v>0</v>
      </c>
      <c r="I193" s="5">
        <v>80</v>
      </c>
      <c r="J193" s="5">
        <v>64</v>
      </c>
      <c r="K193" s="5">
        <v>47</v>
      </c>
      <c r="L193" s="5">
        <v>43</v>
      </c>
      <c r="M193" s="5">
        <v>36</v>
      </c>
      <c r="N193" s="15"/>
      <c r="O193" s="15"/>
      <c r="P193" s="15"/>
      <c r="Q193" s="15"/>
      <c r="R193" s="15"/>
    </row>
    <row r="194" spans="1:18">
      <c r="A194" s="5">
        <v>190</v>
      </c>
      <c r="B194" s="5">
        <f>ROUND(A194*설정!$C$16/60,1)</f>
        <v>126.7</v>
      </c>
      <c r="C194" s="8">
        <v>57122</v>
      </c>
      <c r="D194" s="8">
        <v>65726</v>
      </c>
      <c r="E194" s="8">
        <v>80624</v>
      </c>
      <c r="F194" s="8">
        <v>131381</v>
      </c>
      <c r="G194" s="8">
        <v>411181</v>
      </c>
      <c r="H194" s="22">
        <f t="shared" si="2"/>
        <v>0.014924842756121</v>
      </c>
      <c r="I194" s="5">
        <v>80</v>
      </c>
      <c r="J194" s="5">
        <v>64</v>
      </c>
      <c r="K194" s="5">
        <v>47</v>
      </c>
      <c r="L194" s="5">
        <v>43</v>
      </c>
      <c r="M194" s="5">
        <v>36</v>
      </c>
      <c r="N194" s="15"/>
      <c r="O194" s="15"/>
      <c r="P194" s="15"/>
      <c r="Q194" s="15"/>
      <c r="R194" s="15"/>
    </row>
    <row r="195" spans="1:18">
      <c r="A195" s="5">
        <v>191</v>
      </c>
      <c r="B195" s="5">
        <f>ROUND(A195*설정!$C$16/60,1)</f>
        <v>127.3</v>
      </c>
      <c r="C195" s="8">
        <v>57122</v>
      </c>
      <c r="D195" s="8">
        <v>65726</v>
      </c>
      <c r="E195" s="8">
        <v>81418</v>
      </c>
      <c r="F195" s="8">
        <v>131381</v>
      </c>
      <c r="G195" s="8">
        <v>415232</v>
      </c>
      <c r="H195" s="22">
        <f t="shared" si="2"/>
        <v>0</v>
      </c>
      <c r="I195" s="5">
        <v>80</v>
      </c>
      <c r="J195" s="5">
        <v>64</v>
      </c>
      <c r="K195" s="5">
        <v>47</v>
      </c>
      <c r="L195" s="5">
        <v>43</v>
      </c>
      <c r="M195" s="5">
        <v>36</v>
      </c>
      <c r="N195" s="15"/>
      <c r="O195" s="15"/>
      <c r="P195" s="15"/>
      <c r="Q195" s="15"/>
      <c r="R195" s="15"/>
    </row>
    <row r="196" spans="1:18">
      <c r="A196" s="5">
        <v>192</v>
      </c>
      <c r="B196" s="5">
        <f>ROUND(A196*설정!$C$16/60,1)</f>
        <v>128</v>
      </c>
      <c r="C196" s="8">
        <v>57122</v>
      </c>
      <c r="D196" s="8">
        <v>65726</v>
      </c>
      <c r="E196" s="8">
        <v>81669</v>
      </c>
      <c r="F196" s="8">
        <v>131381</v>
      </c>
      <c r="G196" s="8">
        <v>416510</v>
      </c>
      <c r="H196" s="22">
        <f t="shared" si="2"/>
        <v>0</v>
      </c>
      <c r="I196" s="5">
        <v>80</v>
      </c>
      <c r="J196" s="5">
        <v>65</v>
      </c>
      <c r="K196" s="5">
        <v>47</v>
      </c>
      <c r="L196" s="5">
        <v>43</v>
      </c>
      <c r="M196" s="5">
        <v>36</v>
      </c>
      <c r="N196" s="15"/>
      <c r="O196" s="15"/>
      <c r="P196" s="15"/>
      <c r="Q196" s="15"/>
      <c r="R196" s="15"/>
    </row>
    <row r="197" spans="1:18">
      <c r="A197" s="5">
        <v>193</v>
      </c>
      <c r="B197" s="5">
        <f>ROUND(A197*설정!$C$16/60,1)</f>
        <v>128.7</v>
      </c>
      <c r="C197" s="8">
        <v>57730</v>
      </c>
      <c r="D197" s="8">
        <v>65726</v>
      </c>
      <c r="E197" s="8">
        <v>81669</v>
      </c>
      <c r="F197" s="8">
        <v>132779</v>
      </c>
      <c r="G197" s="8">
        <v>416510</v>
      </c>
      <c r="H197" s="22">
        <f t="shared" si="2"/>
        <v>0.0106438850180315</v>
      </c>
      <c r="I197" s="5">
        <v>80</v>
      </c>
      <c r="J197" s="5">
        <v>65</v>
      </c>
      <c r="K197" s="5">
        <v>48</v>
      </c>
      <c r="L197" s="5">
        <v>43</v>
      </c>
      <c r="M197" s="5">
        <v>36</v>
      </c>
      <c r="N197" s="15"/>
      <c r="O197" s="15"/>
      <c r="P197" s="15"/>
      <c r="Q197" s="15"/>
      <c r="R197" s="15"/>
    </row>
    <row r="198" spans="1:18">
      <c r="A198" s="5">
        <v>194</v>
      </c>
      <c r="B198" s="5">
        <f>ROUND(A198*설정!$C$16/60,1)</f>
        <v>129.3</v>
      </c>
      <c r="C198" s="8">
        <v>57955</v>
      </c>
      <c r="D198" s="8">
        <v>65726</v>
      </c>
      <c r="E198" s="8">
        <v>81669</v>
      </c>
      <c r="F198" s="8">
        <v>133297</v>
      </c>
      <c r="G198" s="8">
        <v>416510</v>
      </c>
      <c r="H198" s="22">
        <f t="shared" ref="H198:H261" si="3">IF(C197&gt;0,C198/C197-1,0)</f>
        <v>0.0038974536636065</v>
      </c>
      <c r="I198" s="5">
        <v>80</v>
      </c>
      <c r="J198" s="5">
        <v>65</v>
      </c>
      <c r="K198" s="5">
        <v>48</v>
      </c>
      <c r="L198" s="5">
        <v>43</v>
      </c>
      <c r="M198" s="5">
        <v>36</v>
      </c>
      <c r="N198" s="15"/>
      <c r="O198" s="15"/>
      <c r="P198" s="15"/>
      <c r="Q198" s="15"/>
      <c r="R198" s="15"/>
    </row>
    <row r="199" spans="1:18">
      <c r="A199" s="5">
        <v>195</v>
      </c>
      <c r="B199" s="5">
        <f>ROUND(A199*설정!$C$16/60,1)</f>
        <v>130</v>
      </c>
      <c r="C199" s="8">
        <v>57955</v>
      </c>
      <c r="D199" s="8">
        <v>66995</v>
      </c>
      <c r="E199" s="8">
        <v>81669</v>
      </c>
      <c r="F199" s="8">
        <v>133297</v>
      </c>
      <c r="G199" s="8">
        <v>416510</v>
      </c>
      <c r="H199" s="22">
        <f t="shared" si="3"/>
        <v>0</v>
      </c>
      <c r="I199" s="5">
        <v>80</v>
      </c>
      <c r="J199" s="5">
        <v>65</v>
      </c>
      <c r="K199" s="5">
        <v>48</v>
      </c>
      <c r="L199" s="5">
        <v>43</v>
      </c>
      <c r="M199" s="5">
        <v>36</v>
      </c>
      <c r="N199" s="15"/>
      <c r="O199" s="15"/>
      <c r="P199" s="15"/>
      <c r="Q199" s="15"/>
      <c r="R199" s="15"/>
    </row>
    <row r="200" spans="1:18">
      <c r="A200" s="5">
        <v>196</v>
      </c>
      <c r="B200" s="5">
        <f>ROUND(A200*설정!$C$16/60,1)</f>
        <v>130.7</v>
      </c>
      <c r="C200" s="8">
        <v>57955</v>
      </c>
      <c r="D200" s="8">
        <v>66995</v>
      </c>
      <c r="E200" s="8">
        <v>82787</v>
      </c>
      <c r="F200" s="8">
        <v>133297</v>
      </c>
      <c r="G200" s="8">
        <v>422216</v>
      </c>
      <c r="H200" s="22">
        <f t="shared" si="3"/>
        <v>0</v>
      </c>
      <c r="I200" s="5">
        <v>80</v>
      </c>
      <c r="J200" s="5">
        <v>65</v>
      </c>
      <c r="K200" s="5">
        <v>48</v>
      </c>
      <c r="L200" s="5">
        <v>43</v>
      </c>
      <c r="M200" s="5">
        <v>36</v>
      </c>
      <c r="N200" s="15"/>
      <c r="O200" s="15"/>
      <c r="P200" s="15"/>
      <c r="Q200" s="15"/>
      <c r="R200" s="15"/>
    </row>
    <row r="201" spans="1:18">
      <c r="A201" s="5">
        <v>197</v>
      </c>
      <c r="B201" s="5">
        <f>ROUND(A201*설정!$C$16/60,1)</f>
        <v>131.3</v>
      </c>
      <c r="C201" s="8">
        <v>57955</v>
      </c>
      <c r="D201" s="8">
        <v>66995</v>
      </c>
      <c r="E201" s="8">
        <v>82787</v>
      </c>
      <c r="F201" s="8">
        <v>133297</v>
      </c>
      <c r="G201" s="8">
        <v>422216</v>
      </c>
      <c r="H201" s="22">
        <f t="shared" si="3"/>
        <v>0</v>
      </c>
      <c r="I201" s="5">
        <v>80</v>
      </c>
      <c r="J201" s="5">
        <v>65</v>
      </c>
      <c r="K201" s="5">
        <v>48</v>
      </c>
      <c r="L201" s="5">
        <v>43</v>
      </c>
      <c r="M201" s="5">
        <v>36</v>
      </c>
      <c r="N201" s="15"/>
      <c r="O201" s="15"/>
      <c r="P201" s="15"/>
      <c r="Q201" s="15"/>
      <c r="R201" s="15"/>
    </row>
    <row r="202" spans="1:18">
      <c r="A202" s="5">
        <v>198</v>
      </c>
      <c r="B202" s="5">
        <f>ROUND(A202*설정!$C$16/60,1)</f>
        <v>132</v>
      </c>
      <c r="C202" s="8">
        <v>57955</v>
      </c>
      <c r="D202" s="8">
        <v>66995</v>
      </c>
      <c r="E202" s="8">
        <v>82787</v>
      </c>
      <c r="F202" s="8">
        <v>133297</v>
      </c>
      <c r="G202" s="8">
        <v>422216</v>
      </c>
      <c r="H202" s="22">
        <f t="shared" si="3"/>
        <v>0</v>
      </c>
      <c r="I202" s="5">
        <v>80</v>
      </c>
      <c r="J202" s="5">
        <v>65</v>
      </c>
      <c r="K202" s="5">
        <v>48</v>
      </c>
      <c r="L202" s="5">
        <v>43</v>
      </c>
      <c r="M202" s="5">
        <v>36</v>
      </c>
      <c r="N202" s="15"/>
      <c r="O202" s="15"/>
      <c r="P202" s="15"/>
      <c r="Q202" s="15"/>
      <c r="R202" s="15"/>
    </row>
    <row r="203" spans="1:18">
      <c r="A203" s="5">
        <v>199</v>
      </c>
      <c r="B203" s="5">
        <f>ROUND(A203*설정!$C$16/60,1)</f>
        <v>132.7</v>
      </c>
      <c r="C203" s="8">
        <v>57955</v>
      </c>
      <c r="D203" s="8">
        <v>66995</v>
      </c>
      <c r="E203" s="8">
        <v>82787</v>
      </c>
      <c r="F203" s="8">
        <v>133297</v>
      </c>
      <c r="G203" s="8">
        <v>422216</v>
      </c>
      <c r="H203" s="22">
        <f t="shared" si="3"/>
        <v>0</v>
      </c>
      <c r="I203" s="5">
        <v>80</v>
      </c>
      <c r="J203" s="5">
        <v>65</v>
      </c>
      <c r="K203" s="5">
        <v>48</v>
      </c>
      <c r="L203" s="5">
        <v>43</v>
      </c>
      <c r="M203" s="5">
        <v>37</v>
      </c>
      <c r="N203" s="15"/>
      <c r="O203" s="15"/>
      <c r="P203" s="15"/>
      <c r="Q203" s="15"/>
      <c r="R203" s="15"/>
    </row>
    <row r="204" spans="1:18">
      <c r="A204" s="5">
        <v>200</v>
      </c>
      <c r="B204" s="5">
        <f>ROUND(A204*설정!$C$16/60,1)</f>
        <v>133.3</v>
      </c>
      <c r="C204" s="8">
        <v>57955</v>
      </c>
      <c r="D204" s="8">
        <v>66995</v>
      </c>
      <c r="E204" s="8">
        <v>82787</v>
      </c>
      <c r="F204" s="8">
        <v>136194</v>
      </c>
      <c r="G204" s="8">
        <v>422216</v>
      </c>
      <c r="H204" s="22">
        <f t="shared" si="3"/>
        <v>0</v>
      </c>
      <c r="I204" s="5">
        <v>80</v>
      </c>
      <c r="J204" s="5">
        <v>65</v>
      </c>
      <c r="K204" s="5">
        <v>48</v>
      </c>
      <c r="L204" s="5">
        <v>43</v>
      </c>
      <c r="M204" s="5">
        <v>37</v>
      </c>
      <c r="N204" s="15"/>
      <c r="O204" s="15"/>
      <c r="P204" s="15"/>
      <c r="Q204" s="15"/>
      <c r="R204" s="15"/>
    </row>
    <row r="205" spans="1:18">
      <c r="A205" s="5">
        <v>201</v>
      </c>
      <c r="B205" s="5">
        <f>ROUND(A205*설정!$C$16/60,1)</f>
        <v>134</v>
      </c>
      <c r="C205" s="8">
        <v>57955</v>
      </c>
      <c r="D205" s="8">
        <v>66995</v>
      </c>
      <c r="E205" s="8">
        <v>82787</v>
      </c>
      <c r="F205" s="8">
        <v>136194</v>
      </c>
      <c r="G205" s="8">
        <v>422216</v>
      </c>
      <c r="H205" s="22">
        <f t="shared" si="3"/>
        <v>0</v>
      </c>
      <c r="I205" s="5">
        <v>80</v>
      </c>
      <c r="J205" s="5">
        <v>65</v>
      </c>
      <c r="K205" s="5">
        <v>48</v>
      </c>
      <c r="L205" s="5">
        <v>43</v>
      </c>
      <c r="M205" s="5">
        <v>37</v>
      </c>
      <c r="N205" s="15"/>
      <c r="O205" s="15"/>
      <c r="P205" s="15"/>
      <c r="Q205" s="15"/>
      <c r="R205" s="15"/>
    </row>
    <row r="206" spans="1:18">
      <c r="A206" s="5">
        <v>202</v>
      </c>
      <c r="B206" s="5">
        <f>ROUND(A206*설정!$C$16/60,1)</f>
        <v>134.7</v>
      </c>
      <c r="C206" s="8">
        <v>57955</v>
      </c>
      <c r="D206" s="8">
        <v>66995</v>
      </c>
      <c r="E206" s="8">
        <v>84302</v>
      </c>
      <c r="F206" s="8">
        <v>136194</v>
      </c>
      <c r="G206" s="8">
        <v>429942</v>
      </c>
      <c r="H206" s="22">
        <f t="shared" si="3"/>
        <v>0</v>
      </c>
      <c r="I206" s="5">
        <v>80</v>
      </c>
      <c r="J206" s="5">
        <v>65</v>
      </c>
      <c r="K206" s="5">
        <v>48</v>
      </c>
      <c r="L206" s="5">
        <v>43</v>
      </c>
      <c r="M206" s="5">
        <v>37</v>
      </c>
      <c r="N206" s="15"/>
      <c r="O206" s="15"/>
      <c r="P206" s="15"/>
      <c r="Q206" s="15"/>
      <c r="R206" s="15"/>
    </row>
    <row r="207" spans="1:18">
      <c r="A207" s="5">
        <v>203</v>
      </c>
      <c r="B207" s="5">
        <f>ROUND(A207*설정!$C$16/60,1)</f>
        <v>135.3</v>
      </c>
      <c r="C207" s="8">
        <v>57955</v>
      </c>
      <c r="D207" s="8">
        <v>66995</v>
      </c>
      <c r="E207" s="8">
        <v>84302</v>
      </c>
      <c r="F207" s="8">
        <v>136194</v>
      </c>
      <c r="G207" s="8">
        <v>429942</v>
      </c>
      <c r="H207" s="22">
        <f t="shared" si="3"/>
        <v>0</v>
      </c>
      <c r="I207" s="5">
        <v>80</v>
      </c>
      <c r="J207" s="5">
        <v>65</v>
      </c>
      <c r="K207" s="5">
        <v>48</v>
      </c>
      <c r="L207" s="5">
        <v>43</v>
      </c>
      <c r="M207" s="5">
        <v>37</v>
      </c>
      <c r="N207" s="15"/>
      <c r="O207" s="15"/>
      <c r="P207" s="15"/>
      <c r="Q207" s="15"/>
      <c r="R207" s="15"/>
    </row>
    <row r="208" spans="1:18">
      <c r="A208" s="5">
        <v>204</v>
      </c>
      <c r="B208" s="5">
        <f>ROUND(A208*설정!$C$16/60,1)</f>
        <v>136</v>
      </c>
      <c r="C208" s="8">
        <v>57955</v>
      </c>
      <c r="D208" s="8">
        <v>67680</v>
      </c>
      <c r="E208" s="8">
        <v>84302</v>
      </c>
      <c r="F208" s="8">
        <v>136194</v>
      </c>
      <c r="G208" s="8">
        <v>429942</v>
      </c>
      <c r="H208" s="22">
        <f t="shared" si="3"/>
        <v>0</v>
      </c>
      <c r="I208" s="5">
        <v>81</v>
      </c>
      <c r="J208" s="5">
        <v>65</v>
      </c>
      <c r="K208" s="5">
        <v>48</v>
      </c>
      <c r="L208" s="5">
        <v>43</v>
      </c>
      <c r="M208" s="5">
        <v>37</v>
      </c>
      <c r="N208" s="15"/>
      <c r="O208" s="15"/>
      <c r="P208" s="15"/>
      <c r="Q208" s="15"/>
      <c r="R208" s="15"/>
    </row>
    <row r="209" spans="1:18">
      <c r="A209" s="5">
        <v>205</v>
      </c>
      <c r="B209" s="5">
        <f>ROUND(A209*설정!$C$16/60,1)</f>
        <v>136.7</v>
      </c>
      <c r="C209" s="8">
        <v>59105</v>
      </c>
      <c r="D209" s="8">
        <v>67680</v>
      </c>
      <c r="E209" s="8">
        <v>84302</v>
      </c>
      <c r="F209" s="8">
        <v>138896</v>
      </c>
      <c r="G209" s="8">
        <v>429942</v>
      </c>
      <c r="H209" s="22">
        <f t="shared" si="3"/>
        <v>0.0198429816236736</v>
      </c>
      <c r="I209" s="5">
        <v>81</v>
      </c>
      <c r="J209" s="5">
        <v>65</v>
      </c>
      <c r="K209" s="5">
        <v>48</v>
      </c>
      <c r="L209" s="5">
        <v>43</v>
      </c>
      <c r="M209" s="5">
        <v>37</v>
      </c>
      <c r="N209" s="15"/>
      <c r="O209" s="15"/>
      <c r="P209" s="15"/>
      <c r="Q209" s="15"/>
      <c r="R209" s="15"/>
    </row>
    <row r="210" spans="1:18">
      <c r="A210" s="5">
        <v>206</v>
      </c>
      <c r="B210" s="5">
        <f>ROUND(A210*설정!$C$16/60,1)</f>
        <v>137.3</v>
      </c>
      <c r="C210" s="8">
        <v>59105</v>
      </c>
      <c r="D210" s="8">
        <v>67680</v>
      </c>
      <c r="E210" s="8">
        <v>84302</v>
      </c>
      <c r="F210" s="8">
        <v>138896</v>
      </c>
      <c r="G210" s="8">
        <v>429942</v>
      </c>
      <c r="H210" s="22">
        <f t="shared" si="3"/>
        <v>0</v>
      </c>
      <c r="I210" s="5">
        <v>81</v>
      </c>
      <c r="J210" s="5">
        <v>65</v>
      </c>
      <c r="K210" s="5">
        <v>48</v>
      </c>
      <c r="L210" s="5">
        <v>43</v>
      </c>
      <c r="M210" s="5">
        <v>37</v>
      </c>
      <c r="N210" s="15"/>
      <c r="O210" s="15"/>
      <c r="P210" s="15"/>
      <c r="Q210" s="15"/>
      <c r="R210" s="15"/>
    </row>
    <row r="211" spans="1:18">
      <c r="A211" s="5">
        <v>207</v>
      </c>
      <c r="B211" s="5">
        <f>ROUND(A211*설정!$C$16/60,1)</f>
        <v>138</v>
      </c>
      <c r="C211" s="8">
        <v>59105</v>
      </c>
      <c r="D211" s="8">
        <v>67680</v>
      </c>
      <c r="E211" s="8">
        <v>84302</v>
      </c>
      <c r="F211" s="8">
        <v>138896</v>
      </c>
      <c r="G211" s="8">
        <v>429942</v>
      </c>
      <c r="H211" s="22">
        <f t="shared" si="3"/>
        <v>0</v>
      </c>
      <c r="I211" s="5">
        <v>81</v>
      </c>
      <c r="J211" s="5">
        <v>66</v>
      </c>
      <c r="K211" s="5">
        <v>48</v>
      </c>
      <c r="L211" s="5">
        <v>43</v>
      </c>
      <c r="M211" s="5">
        <v>37</v>
      </c>
      <c r="N211" s="15"/>
      <c r="O211" s="15"/>
      <c r="P211" s="15"/>
      <c r="Q211" s="15"/>
      <c r="R211" s="15"/>
    </row>
    <row r="212" spans="1:18">
      <c r="A212" s="5">
        <v>208</v>
      </c>
      <c r="B212" s="5">
        <f>ROUND(A212*설정!$C$16/60,1)</f>
        <v>138.7</v>
      </c>
      <c r="C212" s="8">
        <v>59726</v>
      </c>
      <c r="D212" s="8">
        <v>68646</v>
      </c>
      <c r="E212" s="8">
        <v>84302</v>
      </c>
      <c r="F212" s="8">
        <v>140357</v>
      </c>
      <c r="G212" s="8">
        <v>429942</v>
      </c>
      <c r="H212" s="22">
        <f t="shared" si="3"/>
        <v>0.0105067253193469</v>
      </c>
      <c r="I212" s="5">
        <v>81</v>
      </c>
      <c r="J212" s="5">
        <v>66</v>
      </c>
      <c r="K212" s="5">
        <v>48</v>
      </c>
      <c r="L212" s="5">
        <v>43</v>
      </c>
      <c r="M212" s="5">
        <v>37</v>
      </c>
      <c r="N212" s="15"/>
      <c r="O212" s="15"/>
      <c r="P212" s="15"/>
      <c r="Q212" s="15"/>
      <c r="R212" s="15"/>
    </row>
    <row r="213" spans="1:18">
      <c r="A213" s="5">
        <v>209</v>
      </c>
      <c r="B213" s="5">
        <f>ROUND(A213*설정!$C$16/60,1)</f>
        <v>139.3</v>
      </c>
      <c r="C213" s="8">
        <v>59726</v>
      </c>
      <c r="D213" s="8">
        <v>68886</v>
      </c>
      <c r="E213" s="8">
        <v>84302</v>
      </c>
      <c r="F213" s="8">
        <v>140357</v>
      </c>
      <c r="G213" s="8">
        <v>438373</v>
      </c>
      <c r="H213" s="22">
        <f t="shared" si="3"/>
        <v>0</v>
      </c>
      <c r="I213" s="5">
        <v>81</v>
      </c>
      <c r="J213" s="5">
        <v>66</v>
      </c>
      <c r="K213" s="5">
        <v>48</v>
      </c>
      <c r="L213" s="5">
        <v>43</v>
      </c>
      <c r="M213" s="5">
        <v>37</v>
      </c>
      <c r="N213" s="15"/>
      <c r="O213" s="15"/>
      <c r="P213" s="15"/>
      <c r="Q213" s="15"/>
      <c r="R213" s="15"/>
    </row>
    <row r="214" spans="1:18">
      <c r="A214" s="5">
        <v>210</v>
      </c>
      <c r="B214" s="5">
        <f>ROUND(A214*설정!$C$16/60,1)</f>
        <v>140</v>
      </c>
      <c r="C214" s="8">
        <v>59726</v>
      </c>
      <c r="D214" s="8">
        <v>68886</v>
      </c>
      <c r="E214" s="8">
        <v>84302</v>
      </c>
      <c r="F214" s="8">
        <v>140357</v>
      </c>
      <c r="G214" s="8">
        <v>438373</v>
      </c>
      <c r="H214" s="22">
        <f t="shared" si="3"/>
        <v>0</v>
      </c>
      <c r="I214" s="5">
        <v>81</v>
      </c>
      <c r="J214" s="5">
        <v>66</v>
      </c>
      <c r="K214" s="5">
        <v>48</v>
      </c>
      <c r="L214" s="5">
        <v>43</v>
      </c>
      <c r="M214" s="5">
        <v>37</v>
      </c>
      <c r="N214" s="15"/>
      <c r="O214" s="15"/>
      <c r="P214" s="15"/>
      <c r="Q214" s="15"/>
      <c r="R214" s="15"/>
    </row>
    <row r="215" spans="1:18">
      <c r="A215" s="5">
        <v>211</v>
      </c>
      <c r="B215" s="5">
        <f>ROUND(A215*설정!$C$16/60,1)</f>
        <v>140.7</v>
      </c>
      <c r="C215" s="8">
        <v>59726</v>
      </c>
      <c r="D215" s="8">
        <v>68886</v>
      </c>
      <c r="E215" s="8">
        <v>84302</v>
      </c>
      <c r="F215" s="8">
        <v>140357</v>
      </c>
      <c r="G215" s="8">
        <v>438373</v>
      </c>
      <c r="H215" s="22">
        <f t="shared" si="3"/>
        <v>0</v>
      </c>
      <c r="I215" s="5">
        <v>81</v>
      </c>
      <c r="J215" s="5">
        <v>66</v>
      </c>
      <c r="K215" s="5">
        <v>48</v>
      </c>
      <c r="L215" s="5">
        <v>44</v>
      </c>
      <c r="M215" s="5">
        <v>37</v>
      </c>
      <c r="N215" s="15"/>
      <c r="O215" s="15"/>
      <c r="P215" s="15"/>
      <c r="Q215" s="15"/>
      <c r="R215" s="15"/>
    </row>
    <row r="216" spans="1:18">
      <c r="A216" s="5">
        <v>212</v>
      </c>
      <c r="B216" s="5">
        <f>ROUND(A216*설정!$C$16/60,1)</f>
        <v>141.3</v>
      </c>
      <c r="C216" s="8">
        <v>60605</v>
      </c>
      <c r="D216" s="8">
        <v>68886</v>
      </c>
      <c r="E216" s="8">
        <v>85125</v>
      </c>
      <c r="F216" s="8">
        <v>142421</v>
      </c>
      <c r="G216" s="8">
        <v>442648</v>
      </c>
      <c r="H216" s="22">
        <f t="shared" si="3"/>
        <v>0.0147172085858756</v>
      </c>
      <c r="I216" s="5">
        <v>81</v>
      </c>
      <c r="J216" s="5">
        <v>66</v>
      </c>
      <c r="K216" s="5">
        <v>49</v>
      </c>
      <c r="L216" s="5">
        <v>44</v>
      </c>
      <c r="M216" s="5">
        <v>37</v>
      </c>
      <c r="N216" s="15"/>
      <c r="O216" s="15"/>
      <c r="P216" s="15"/>
      <c r="Q216" s="15"/>
      <c r="R216" s="15"/>
    </row>
    <row r="217" spans="1:18">
      <c r="A217" s="5">
        <v>213</v>
      </c>
      <c r="B217" s="5">
        <f>ROUND(A217*설정!$C$16/60,1)</f>
        <v>142</v>
      </c>
      <c r="C217" s="8">
        <v>60834</v>
      </c>
      <c r="D217" s="8">
        <v>68886</v>
      </c>
      <c r="E217" s="8">
        <v>85380</v>
      </c>
      <c r="F217" s="8">
        <v>142961</v>
      </c>
      <c r="G217" s="8">
        <v>443976</v>
      </c>
      <c r="H217" s="22">
        <f t="shared" si="3"/>
        <v>0.00377856612490723</v>
      </c>
      <c r="I217" s="5">
        <v>81</v>
      </c>
      <c r="J217" s="5">
        <v>66</v>
      </c>
      <c r="K217" s="5">
        <v>49</v>
      </c>
      <c r="L217" s="5">
        <v>44</v>
      </c>
      <c r="M217" s="5">
        <v>37</v>
      </c>
      <c r="N217" s="15"/>
      <c r="O217" s="15"/>
      <c r="P217" s="15"/>
      <c r="Q217" s="15"/>
      <c r="R217" s="15"/>
    </row>
    <row r="218" spans="1:18">
      <c r="A218" s="5">
        <v>214</v>
      </c>
      <c r="B218" s="5">
        <f>ROUND(A218*설정!$C$16/60,1)</f>
        <v>142.7</v>
      </c>
      <c r="C218" s="8">
        <v>60834</v>
      </c>
      <c r="D218" s="8">
        <v>68886</v>
      </c>
      <c r="E218" s="8">
        <v>85380</v>
      </c>
      <c r="F218" s="8">
        <v>142961</v>
      </c>
      <c r="G218" s="8">
        <v>443976</v>
      </c>
      <c r="H218" s="22">
        <f t="shared" si="3"/>
        <v>0</v>
      </c>
      <c r="I218" s="5">
        <v>81</v>
      </c>
      <c r="J218" s="5">
        <v>66</v>
      </c>
      <c r="K218" s="5">
        <v>49</v>
      </c>
      <c r="L218" s="5">
        <v>44</v>
      </c>
      <c r="M218" s="5">
        <v>37</v>
      </c>
      <c r="N218" s="15"/>
      <c r="O218" s="15"/>
      <c r="P218" s="15"/>
      <c r="Q218" s="15"/>
      <c r="R218" s="15"/>
    </row>
    <row r="219" spans="1:18">
      <c r="A219" s="5">
        <v>215</v>
      </c>
      <c r="B219" s="5">
        <f>ROUND(A219*설정!$C$16/60,1)</f>
        <v>143.3</v>
      </c>
      <c r="C219" s="8">
        <v>60834</v>
      </c>
      <c r="D219" s="8">
        <v>70203</v>
      </c>
      <c r="E219" s="8">
        <v>85380</v>
      </c>
      <c r="F219" s="8">
        <v>142961</v>
      </c>
      <c r="G219" s="8">
        <v>443976</v>
      </c>
      <c r="H219" s="22">
        <f t="shared" si="3"/>
        <v>0</v>
      </c>
      <c r="I219" s="5">
        <v>81</v>
      </c>
      <c r="J219" s="5">
        <v>66</v>
      </c>
      <c r="K219" s="5">
        <v>49</v>
      </c>
      <c r="L219" s="5">
        <v>44</v>
      </c>
      <c r="M219" s="5">
        <v>37</v>
      </c>
      <c r="N219" s="15"/>
      <c r="O219" s="15"/>
      <c r="P219" s="15"/>
      <c r="Q219" s="15"/>
      <c r="R219" s="15"/>
    </row>
    <row r="220" spans="1:18">
      <c r="A220" s="5">
        <v>216</v>
      </c>
      <c r="B220" s="5">
        <f>ROUND(A220*설정!$C$16/60,1)</f>
        <v>144</v>
      </c>
      <c r="C220" s="8">
        <v>60834</v>
      </c>
      <c r="D220" s="8">
        <v>70203</v>
      </c>
      <c r="E220" s="8">
        <v>85380</v>
      </c>
      <c r="F220" s="8">
        <v>142961</v>
      </c>
      <c r="G220" s="8">
        <v>443976</v>
      </c>
      <c r="H220" s="22">
        <f t="shared" si="3"/>
        <v>0</v>
      </c>
      <c r="I220" s="5">
        <v>81</v>
      </c>
      <c r="J220" s="5">
        <v>66</v>
      </c>
      <c r="K220" s="5">
        <v>49</v>
      </c>
      <c r="L220" s="5">
        <v>44</v>
      </c>
      <c r="M220" s="5">
        <v>37</v>
      </c>
      <c r="N220" s="15"/>
      <c r="O220" s="15"/>
      <c r="P220" s="15"/>
      <c r="Q220" s="15"/>
      <c r="R220" s="15"/>
    </row>
    <row r="221" spans="1:18">
      <c r="A221" s="5">
        <v>217</v>
      </c>
      <c r="B221" s="5">
        <f>ROUND(A221*설정!$C$16/60,1)</f>
        <v>144.7</v>
      </c>
      <c r="C221" s="8">
        <v>60834</v>
      </c>
      <c r="D221" s="8">
        <v>70203</v>
      </c>
      <c r="E221" s="8">
        <v>85380</v>
      </c>
      <c r="F221" s="8">
        <v>142961</v>
      </c>
      <c r="G221" s="8">
        <v>443976</v>
      </c>
      <c r="H221" s="22">
        <f t="shared" si="3"/>
        <v>0</v>
      </c>
      <c r="I221" s="5">
        <v>81</v>
      </c>
      <c r="J221" s="5">
        <v>66</v>
      </c>
      <c r="K221" s="5">
        <v>49</v>
      </c>
      <c r="L221" s="5">
        <v>44</v>
      </c>
      <c r="M221" s="5">
        <v>37</v>
      </c>
      <c r="N221" s="15"/>
      <c r="O221" s="15"/>
      <c r="P221" s="15"/>
      <c r="Q221" s="15"/>
      <c r="R221" s="15"/>
    </row>
    <row r="222" spans="1:18">
      <c r="A222" s="5">
        <v>218</v>
      </c>
      <c r="B222" s="5">
        <f>ROUND(A222*설정!$C$16/60,1)</f>
        <v>145.3</v>
      </c>
      <c r="C222" s="8">
        <v>60834</v>
      </c>
      <c r="D222" s="8">
        <v>70203</v>
      </c>
      <c r="E222" s="8">
        <v>85380</v>
      </c>
      <c r="F222" s="8">
        <v>142961</v>
      </c>
      <c r="G222" s="8">
        <v>443976</v>
      </c>
      <c r="H222" s="22">
        <f t="shared" si="3"/>
        <v>0</v>
      </c>
      <c r="I222" s="5">
        <v>82</v>
      </c>
      <c r="J222" s="5">
        <v>66</v>
      </c>
      <c r="K222" s="5">
        <v>49</v>
      </c>
      <c r="L222" s="5">
        <v>44</v>
      </c>
      <c r="M222" s="5">
        <v>37</v>
      </c>
      <c r="N222" s="15"/>
      <c r="O222" s="15"/>
      <c r="P222" s="15"/>
      <c r="Q222" s="15"/>
      <c r="R222" s="15"/>
    </row>
    <row r="223" spans="1:18">
      <c r="A223" s="5">
        <v>219</v>
      </c>
      <c r="B223" s="5">
        <f>ROUND(A223*설정!$C$16/60,1)</f>
        <v>146</v>
      </c>
      <c r="C223" s="8">
        <v>62029</v>
      </c>
      <c r="D223" s="8">
        <v>70912</v>
      </c>
      <c r="E223" s="8">
        <v>86928</v>
      </c>
      <c r="F223" s="8">
        <v>145767</v>
      </c>
      <c r="G223" s="8">
        <v>452025</v>
      </c>
      <c r="H223" s="22">
        <f t="shared" si="3"/>
        <v>0.0196436203438866</v>
      </c>
      <c r="I223" s="5">
        <v>82</v>
      </c>
      <c r="J223" s="5">
        <v>66</v>
      </c>
      <c r="K223" s="5">
        <v>49</v>
      </c>
      <c r="L223" s="5">
        <v>44</v>
      </c>
      <c r="M223" s="5">
        <v>37</v>
      </c>
      <c r="N223" s="15"/>
      <c r="O223" s="15"/>
      <c r="P223" s="15"/>
      <c r="Q223" s="15"/>
      <c r="R223" s="15"/>
    </row>
    <row r="224" spans="1:18">
      <c r="A224" s="5">
        <v>220</v>
      </c>
      <c r="B224" s="5">
        <f>ROUND(A224*설정!$C$16/60,1)</f>
        <v>146.7</v>
      </c>
      <c r="C224" s="8">
        <v>62029</v>
      </c>
      <c r="D224" s="8">
        <v>70912</v>
      </c>
      <c r="E224" s="8">
        <v>86928</v>
      </c>
      <c r="F224" s="8">
        <v>145767</v>
      </c>
      <c r="G224" s="8">
        <v>452025</v>
      </c>
      <c r="H224" s="22">
        <f t="shared" si="3"/>
        <v>0</v>
      </c>
      <c r="I224" s="5">
        <v>82</v>
      </c>
      <c r="J224" s="5">
        <v>66</v>
      </c>
      <c r="K224" s="5">
        <v>49</v>
      </c>
      <c r="L224" s="5">
        <v>44</v>
      </c>
      <c r="M224" s="5">
        <v>37</v>
      </c>
      <c r="N224" s="15"/>
      <c r="O224" s="15"/>
      <c r="P224" s="15"/>
      <c r="Q224" s="15"/>
      <c r="R224" s="15"/>
    </row>
    <row r="225" spans="1:18">
      <c r="A225" s="5">
        <v>221</v>
      </c>
      <c r="B225" s="5">
        <f>ROUND(A225*설정!$C$16/60,1)</f>
        <v>147.3</v>
      </c>
      <c r="C225" s="8">
        <v>62029</v>
      </c>
      <c r="D225" s="8">
        <v>70912</v>
      </c>
      <c r="E225" s="8">
        <v>86928</v>
      </c>
      <c r="F225" s="8">
        <v>145767</v>
      </c>
      <c r="G225" s="8">
        <v>452025</v>
      </c>
      <c r="H225" s="22">
        <f t="shared" si="3"/>
        <v>0</v>
      </c>
      <c r="I225" s="5">
        <v>82</v>
      </c>
      <c r="J225" s="5">
        <v>67</v>
      </c>
      <c r="K225" s="5">
        <v>49</v>
      </c>
      <c r="L225" s="5">
        <v>44</v>
      </c>
      <c r="M225" s="5">
        <v>37</v>
      </c>
      <c r="N225" s="15"/>
      <c r="O225" s="15"/>
      <c r="P225" s="15"/>
      <c r="Q225" s="15"/>
      <c r="R225" s="15"/>
    </row>
    <row r="226" spans="1:18">
      <c r="A226" s="5">
        <v>222</v>
      </c>
      <c r="B226" s="5">
        <f>ROUND(A226*설정!$C$16/60,1)</f>
        <v>148</v>
      </c>
      <c r="C226" s="8">
        <v>62674</v>
      </c>
      <c r="D226" s="8">
        <v>70912</v>
      </c>
      <c r="E226" s="8">
        <v>86928</v>
      </c>
      <c r="F226" s="8">
        <v>147284</v>
      </c>
      <c r="G226" s="8">
        <v>452025</v>
      </c>
      <c r="H226" s="22">
        <f t="shared" si="3"/>
        <v>0.0103983620564574</v>
      </c>
      <c r="I226" s="5">
        <v>82</v>
      </c>
      <c r="J226" s="5">
        <v>67</v>
      </c>
      <c r="K226" s="5">
        <v>49</v>
      </c>
      <c r="L226" s="5">
        <v>44</v>
      </c>
      <c r="M226" s="5">
        <v>37</v>
      </c>
      <c r="N226" s="15"/>
      <c r="O226" s="15"/>
      <c r="P226" s="15"/>
      <c r="Q226" s="15"/>
      <c r="R226" s="15"/>
    </row>
    <row r="227" spans="1:18">
      <c r="A227" s="5">
        <v>223</v>
      </c>
      <c r="B227" s="5">
        <f>ROUND(A227*설정!$C$16/60,1)</f>
        <v>148.7</v>
      </c>
      <c r="C227" s="8">
        <v>62674</v>
      </c>
      <c r="D227" s="8">
        <v>70912</v>
      </c>
      <c r="E227" s="8">
        <v>86928</v>
      </c>
      <c r="F227" s="8">
        <v>147284</v>
      </c>
      <c r="G227" s="8">
        <v>452025</v>
      </c>
      <c r="H227" s="22">
        <f t="shared" si="3"/>
        <v>0</v>
      </c>
      <c r="I227" s="5">
        <v>82</v>
      </c>
      <c r="J227" s="5">
        <v>67</v>
      </c>
      <c r="K227" s="5">
        <v>49</v>
      </c>
      <c r="L227" s="5">
        <v>44</v>
      </c>
      <c r="M227" s="5">
        <v>37</v>
      </c>
      <c r="N227" s="15"/>
      <c r="O227" s="15"/>
      <c r="P227" s="15"/>
      <c r="Q227" s="15"/>
      <c r="R227" s="15"/>
    </row>
    <row r="228" spans="1:18">
      <c r="A228" s="5">
        <v>224</v>
      </c>
      <c r="B228" s="5">
        <f>ROUND(A228*설정!$C$16/60,1)</f>
        <v>149.3</v>
      </c>
      <c r="C228" s="8">
        <v>62674</v>
      </c>
      <c r="D228" s="8">
        <v>70912</v>
      </c>
      <c r="E228" s="8">
        <v>88103</v>
      </c>
      <c r="F228" s="8">
        <v>147284</v>
      </c>
      <c r="G228" s="8">
        <v>458133</v>
      </c>
      <c r="H228" s="22">
        <f t="shared" si="3"/>
        <v>0</v>
      </c>
      <c r="I228" s="5">
        <v>82</v>
      </c>
      <c r="J228" s="5">
        <v>67</v>
      </c>
      <c r="K228" s="5">
        <v>49</v>
      </c>
      <c r="L228" s="5">
        <v>44</v>
      </c>
      <c r="M228" s="5">
        <v>37</v>
      </c>
      <c r="N228" s="15"/>
      <c r="O228" s="15"/>
      <c r="P228" s="15"/>
      <c r="Q228" s="15"/>
      <c r="R228" s="15"/>
    </row>
    <row r="229" spans="1:18">
      <c r="A229" s="5">
        <v>225</v>
      </c>
      <c r="B229" s="5">
        <f>ROUND(A229*설정!$C$16/60,1)</f>
        <v>150</v>
      </c>
      <c r="C229" s="8">
        <v>62674</v>
      </c>
      <c r="D229" s="8">
        <v>72259</v>
      </c>
      <c r="E229" s="8">
        <v>88103</v>
      </c>
      <c r="F229" s="8">
        <v>147284</v>
      </c>
      <c r="G229" s="8">
        <v>458133</v>
      </c>
      <c r="H229" s="22">
        <f t="shared" si="3"/>
        <v>0</v>
      </c>
      <c r="I229" s="5">
        <v>82</v>
      </c>
      <c r="J229" s="5">
        <v>67</v>
      </c>
      <c r="K229" s="5">
        <v>49</v>
      </c>
      <c r="L229" s="5">
        <v>44</v>
      </c>
      <c r="M229" s="5">
        <v>37</v>
      </c>
      <c r="N229" s="15"/>
      <c r="O229" s="15"/>
      <c r="P229" s="15"/>
      <c r="Q229" s="15"/>
      <c r="R229" s="15"/>
    </row>
    <row r="230" spans="1:18">
      <c r="A230" s="5">
        <v>226</v>
      </c>
      <c r="B230" s="5">
        <f>ROUND(A230*설정!$C$16/60,1)</f>
        <v>150.7</v>
      </c>
      <c r="C230" s="8">
        <v>62674</v>
      </c>
      <c r="D230" s="8">
        <v>72259</v>
      </c>
      <c r="E230" s="8">
        <v>88103</v>
      </c>
      <c r="F230" s="8">
        <v>147284</v>
      </c>
      <c r="G230" s="8">
        <v>458133</v>
      </c>
      <c r="H230" s="22">
        <f t="shared" si="3"/>
        <v>0</v>
      </c>
      <c r="I230" s="5">
        <v>82</v>
      </c>
      <c r="J230" s="5">
        <v>67</v>
      </c>
      <c r="K230" s="5">
        <v>49</v>
      </c>
      <c r="L230" s="5">
        <v>44</v>
      </c>
      <c r="M230" s="5">
        <v>37</v>
      </c>
      <c r="N230" s="15"/>
      <c r="O230" s="15"/>
      <c r="P230" s="15"/>
      <c r="Q230" s="15"/>
      <c r="R230" s="15"/>
    </row>
    <row r="231" spans="1:18">
      <c r="A231" s="5">
        <v>227</v>
      </c>
      <c r="B231" s="5">
        <f>ROUND(A231*설정!$C$16/60,1)</f>
        <v>151.3</v>
      </c>
      <c r="C231" s="8">
        <v>62674</v>
      </c>
      <c r="D231" s="8">
        <v>72259</v>
      </c>
      <c r="E231" s="8">
        <v>88103</v>
      </c>
      <c r="F231" s="8">
        <v>147284</v>
      </c>
      <c r="G231" s="8">
        <v>458133</v>
      </c>
      <c r="H231" s="22">
        <f t="shared" si="3"/>
        <v>0</v>
      </c>
      <c r="I231" s="5">
        <v>82</v>
      </c>
      <c r="J231" s="5">
        <v>67</v>
      </c>
      <c r="K231" s="5">
        <v>49</v>
      </c>
      <c r="L231" s="5">
        <v>44</v>
      </c>
      <c r="M231" s="5">
        <v>37</v>
      </c>
      <c r="N231" s="15"/>
      <c r="O231" s="15"/>
      <c r="P231" s="15"/>
      <c r="Q231" s="15"/>
      <c r="R231" s="15"/>
    </row>
    <row r="232" spans="1:18">
      <c r="A232" s="5">
        <v>228</v>
      </c>
      <c r="B232" s="5">
        <f>ROUND(A232*설정!$C$16/60,1)</f>
        <v>152</v>
      </c>
      <c r="C232" s="8">
        <v>62674</v>
      </c>
      <c r="D232" s="8">
        <v>72259</v>
      </c>
      <c r="E232" s="8">
        <v>88953</v>
      </c>
      <c r="F232" s="8">
        <v>147284</v>
      </c>
      <c r="G232" s="8">
        <v>462557</v>
      </c>
      <c r="H232" s="22">
        <f t="shared" si="3"/>
        <v>0</v>
      </c>
      <c r="I232" s="5">
        <v>82</v>
      </c>
      <c r="J232" s="5">
        <v>67</v>
      </c>
      <c r="K232" s="5">
        <v>49</v>
      </c>
      <c r="L232" s="5">
        <v>44</v>
      </c>
      <c r="M232" s="5">
        <v>38</v>
      </c>
      <c r="N232" s="15"/>
      <c r="O232" s="15"/>
      <c r="P232" s="15"/>
      <c r="Q232" s="15"/>
      <c r="R232" s="15"/>
    </row>
    <row r="233" spans="1:18">
      <c r="A233" s="5">
        <v>229</v>
      </c>
      <c r="B233" s="5">
        <f>ROUND(A233*설정!$C$16/60,1)</f>
        <v>152.7</v>
      </c>
      <c r="C233" s="8">
        <v>62674</v>
      </c>
      <c r="D233" s="8">
        <v>72259</v>
      </c>
      <c r="E233" s="8">
        <v>88953</v>
      </c>
      <c r="F233" s="8">
        <v>150417</v>
      </c>
      <c r="G233" s="8">
        <v>462557</v>
      </c>
      <c r="H233" s="22">
        <f t="shared" si="3"/>
        <v>0</v>
      </c>
      <c r="I233" s="5">
        <v>82</v>
      </c>
      <c r="J233" s="5">
        <v>67</v>
      </c>
      <c r="K233" s="5">
        <v>49</v>
      </c>
      <c r="L233" s="5">
        <v>44</v>
      </c>
      <c r="M233" s="5">
        <v>38</v>
      </c>
      <c r="N233" s="15"/>
      <c r="O233" s="15"/>
      <c r="P233" s="15"/>
      <c r="Q233" s="15"/>
      <c r="R233" s="15"/>
    </row>
    <row r="234" spans="1:18">
      <c r="A234" s="5">
        <v>230</v>
      </c>
      <c r="B234" s="5">
        <f>ROUND(A234*설정!$C$16/60,1)</f>
        <v>153.3</v>
      </c>
      <c r="C234" s="8">
        <v>62674</v>
      </c>
      <c r="D234" s="8">
        <v>73277</v>
      </c>
      <c r="E234" s="8">
        <v>88953</v>
      </c>
      <c r="F234" s="8">
        <v>150417</v>
      </c>
      <c r="G234" s="8">
        <v>462557</v>
      </c>
      <c r="H234" s="22">
        <f t="shared" si="3"/>
        <v>0</v>
      </c>
      <c r="I234" s="5">
        <v>82</v>
      </c>
      <c r="J234" s="5">
        <v>67</v>
      </c>
      <c r="K234" s="5">
        <v>49</v>
      </c>
      <c r="L234" s="5">
        <v>44</v>
      </c>
      <c r="M234" s="5">
        <v>38</v>
      </c>
      <c r="N234" s="15"/>
      <c r="O234" s="15"/>
      <c r="P234" s="15"/>
      <c r="Q234" s="15"/>
      <c r="R234" s="15"/>
    </row>
    <row r="235" spans="1:18">
      <c r="A235" s="5">
        <v>231</v>
      </c>
      <c r="B235" s="5">
        <f>ROUND(A235*설정!$C$16/60,1)</f>
        <v>154</v>
      </c>
      <c r="C235" s="8">
        <v>62674</v>
      </c>
      <c r="D235" s="8">
        <v>73277</v>
      </c>
      <c r="E235" s="8">
        <v>88953</v>
      </c>
      <c r="F235" s="8">
        <v>150417</v>
      </c>
      <c r="G235" s="8">
        <v>462557</v>
      </c>
      <c r="H235" s="22">
        <f t="shared" si="3"/>
        <v>0</v>
      </c>
      <c r="I235" s="5">
        <v>82</v>
      </c>
      <c r="J235" s="5">
        <v>67</v>
      </c>
      <c r="K235" s="5">
        <v>49</v>
      </c>
      <c r="L235" s="5">
        <v>44</v>
      </c>
      <c r="M235" s="5">
        <v>38</v>
      </c>
      <c r="N235" s="15"/>
      <c r="O235" s="15"/>
      <c r="P235" s="15"/>
      <c r="Q235" s="15"/>
      <c r="R235" s="15"/>
    </row>
    <row r="236" spans="1:18">
      <c r="A236" s="5">
        <v>232</v>
      </c>
      <c r="B236" s="5">
        <f>ROUND(A236*설정!$C$16/60,1)</f>
        <v>154.7</v>
      </c>
      <c r="C236" s="8">
        <v>62674</v>
      </c>
      <c r="D236" s="8">
        <v>73277</v>
      </c>
      <c r="E236" s="8">
        <v>88953</v>
      </c>
      <c r="F236" s="8">
        <v>150417</v>
      </c>
      <c r="G236" s="8">
        <v>462557</v>
      </c>
      <c r="H236" s="22">
        <f t="shared" si="3"/>
        <v>0</v>
      </c>
      <c r="I236" s="5">
        <v>82</v>
      </c>
      <c r="J236" s="5">
        <v>67</v>
      </c>
      <c r="K236" s="5">
        <v>49</v>
      </c>
      <c r="L236" s="5">
        <v>44</v>
      </c>
      <c r="M236" s="5">
        <v>38</v>
      </c>
      <c r="N236" s="15"/>
      <c r="O236" s="15"/>
      <c r="P236" s="15"/>
      <c r="Q236" s="15"/>
      <c r="R236" s="15"/>
    </row>
    <row r="237" spans="1:18">
      <c r="A237" s="5">
        <v>233</v>
      </c>
      <c r="B237" s="5">
        <f>ROUND(A237*설정!$C$16/60,1)</f>
        <v>155.3</v>
      </c>
      <c r="C237" s="8">
        <v>62674</v>
      </c>
      <c r="D237" s="8">
        <v>73277</v>
      </c>
      <c r="E237" s="8">
        <v>88953</v>
      </c>
      <c r="F237" s="8">
        <v>150417</v>
      </c>
      <c r="G237" s="8">
        <v>462557</v>
      </c>
      <c r="H237" s="22">
        <f t="shared" si="3"/>
        <v>0</v>
      </c>
      <c r="I237" s="5">
        <v>82</v>
      </c>
      <c r="J237" s="5">
        <v>67</v>
      </c>
      <c r="K237" s="5">
        <v>49</v>
      </c>
      <c r="L237" s="5">
        <v>44</v>
      </c>
      <c r="M237" s="5">
        <v>38</v>
      </c>
      <c r="N237" s="15"/>
      <c r="O237" s="15"/>
      <c r="P237" s="15"/>
      <c r="Q237" s="15"/>
      <c r="R237" s="15"/>
    </row>
    <row r="238" spans="1:18">
      <c r="A238" s="5">
        <v>234</v>
      </c>
      <c r="B238" s="5">
        <f>ROUND(A238*설정!$C$16/60,1)</f>
        <v>156</v>
      </c>
      <c r="C238" s="8">
        <v>62674</v>
      </c>
      <c r="D238" s="8">
        <v>73277</v>
      </c>
      <c r="E238" s="8">
        <v>88953</v>
      </c>
      <c r="F238" s="8">
        <v>150417</v>
      </c>
      <c r="G238" s="8">
        <v>462557</v>
      </c>
      <c r="H238" s="22">
        <f t="shared" si="3"/>
        <v>0</v>
      </c>
      <c r="I238" s="5">
        <v>83</v>
      </c>
      <c r="J238" s="5">
        <v>67</v>
      </c>
      <c r="K238" s="5">
        <v>49</v>
      </c>
      <c r="L238" s="5">
        <v>44</v>
      </c>
      <c r="M238" s="5">
        <v>38</v>
      </c>
      <c r="N238" s="15"/>
      <c r="O238" s="15"/>
      <c r="P238" s="15"/>
      <c r="Q238" s="15"/>
      <c r="R238" s="15"/>
    </row>
    <row r="239" spans="1:18">
      <c r="A239" s="5">
        <v>235</v>
      </c>
      <c r="B239" s="5">
        <f>ROUND(A239*설정!$C$16/60,1)</f>
        <v>156.7</v>
      </c>
      <c r="C239" s="8">
        <v>63896</v>
      </c>
      <c r="D239" s="8">
        <v>73277</v>
      </c>
      <c r="E239" s="8">
        <v>90556</v>
      </c>
      <c r="F239" s="8">
        <v>153351</v>
      </c>
      <c r="G239" s="8">
        <v>470889</v>
      </c>
      <c r="H239" s="22">
        <f t="shared" si="3"/>
        <v>0.0194977183521077</v>
      </c>
      <c r="I239" s="5">
        <v>83</v>
      </c>
      <c r="J239" s="5">
        <v>67</v>
      </c>
      <c r="K239" s="5">
        <v>49</v>
      </c>
      <c r="L239" s="5">
        <v>44</v>
      </c>
      <c r="M239" s="5">
        <v>38</v>
      </c>
      <c r="N239" s="15"/>
      <c r="O239" s="15"/>
      <c r="P239" s="15"/>
      <c r="Q239" s="15"/>
      <c r="R239" s="15"/>
    </row>
    <row r="240" spans="1:18">
      <c r="A240" s="5">
        <v>236</v>
      </c>
      <c r="B240" s="5">
        <f>ROUND(A240*설정!$C$16/60,1)</f>
        <v>157.3</v>
      </c>
      <c r="C240" s="8">
        <v>63896</v>
      </c>
      <c r="D240" s="8">
        <v>73277</v>
      </c>
      <c r="E240" s="8">
        <v>90556</v>
      </c>
      <c r="F240" s="8">
        <v>153351</v>
      </c>
      <c r="G240" s="8">
        <v>470889</v>
      </c>
      <c r="H240" s="22">
        <f t="shared" si="3"/>
        <v>0</v>
      </c>
      <c r="I240" s="5">
        <v>83</v>
      </c>
      <c r="J240" s="5">
        <v>67</v>
      </c>
      <c r="K240" s="5">
        <v>49</v>
      </c>
      <c r="L240" s="5">
        <v>44</v>
      </c>
      <c r="M240" s="5">
        <v>38</v>
      </c>
      <c r="N240" s="15"/>
      <c r="O240" s="15"/>
      <c r="P240" s="15"/>
      <c r="Q240" s="15"/>
      <c r="R240" s="15"/>
    </row>
    <row r="241" spans="1:18">
      <c r="A241" s="5">
        <v>237</v>
      </c>
      <c r="B241" s="5">
        <f>ROUND(A241*설정!$C$16/60,1)</f>
        <v>158</v>
      </c>
      <c r="C241" s="8">
        <v>63896</v>
      </c>
      <c r="D241" s="8">
        <v>73277</v>
      </c>
      <c r="E241" s="8">
        <v>90556</v>
      </c>
      <c r="F241" s="8">
        <v>153351</v>
      </c>
      <c r="G241" s="8">
        <v>470889</v>
      </c>
      <c r="H241" s="22">
        <f t="shared" si="3"/>
        <v>0</v>
      </c>
      <c r="I241" s="5">
        <v>83</v>
      </c>
      <c r="J241" s="5">
        <v>67</v>
      </c>
      <c r="K241" s="5">
        <v>49</v>
      </c>
      <c r="L241" s="5">
        <v>44</v>
      </c>
      <c r="M241" s="5">
        <v>38</v>
      </c>
      <c r="N241" s="15"/>
      <c r="O241" s="15"/>
      <c r="P241" s="15"/>
      <c r="Q241" s="15"/>
      <c r="R241" s="15"/>
    </row>
    <row r="242" spans="1:18">
      <c r="A242" s="5">
        <v>238</v>
      </c>
      <c r="B242" s="5">
        <f>ROUND(A242*설정!$C$16/60,1)</f>
        <v>158.7</v>
      </c>
      <c r="C242" s="8">
        <v>63896</v>
      </c>
      <c r="D242" s="8">
        <v>73521</v>
      </c>
      <c r="E242" s="8">
        <v>90556</v>
      </c>
      <c r="F242" s="8">
        <v>153351</v>
      </c>
      <c r="G242" s="8">
        <v>470889</v>
      </c>
      <c r="H242" s="22">
        <f t="shared" si="3"/>
        <v>0</v>
      </c>
      <c r="I242" s="5">
        <v>83</v>
      </c>
      <c r="J242" s="5">
        <v>67</v>
      </c>
      <c r="K242" s="5">
        <v>49</v>
      </c>
      <c r="L242" s="5">
        <v>44</v>
      </c>
      <c r="M242" s="5">
        <v>38</v>
      </c>
      <c r="N242" s="15"/>
      <c r="O242" s="15"/>
      <c r="P242" s="15"/>
      <c r="Q242" s="15"/>
      <c r="R242" s="15"/>
    </row>
    <row r="243" spans="1:18">
      <c r="A243" s="5">
        <v>239</v>
      </c>
      <c r="B243" s="5">
        <f>ROUND(A243*설정!$C$16/60,1)</f>
        <v>159.3</v>
      </c>
      <c r="C243" s="8">
        <v>63896</v>
      </c>
      <c r="D243" s="8">
        <v>73521</v>
      </c>
      <c r="E243" s="8">
        <v>90556</v>
      </c>
      <c r="F243" s="8">
        <v>153351</v>
      </c>
      <c r="G243" s="8">
        <v>470889</v>
      </c>
      <c r="H243" s="22">
        <f t="shared" si="3"/>
        <v>0</v>
      </c>
      <c r="I243" s="5">
        <v>83</v>
      </c>
      <c r="J243" s="5">
        <v>67</v>
      </c>
      <c r="K243" s="5">
        <v>49</v>
      </c>
      <c r="L243" s="5">
        <v>45</v>
      </c>
      <c r="M243" s="5">
        <v>38</v>
      </c>
      <c r="N243" s="15"/>
      <c r="O243" s="15"/>
      <c r="P243" s="15"/>
      <c r="Q243" s="15"/>
      <c r="R243" s="15"/>
    </row>
    <row r="244" spans="1:18">
      <c r="A244" s="5">
        <v>240</v>
      </c>
      <c r="B244" s="5">
        <f>ROUND(A244*설정!$C$16/60,1)</f>
        <v>160</v>
      </c>
      <c r="C244" s="8">
        <v>64822</v>
      </c>
      <c r="D244" s="8">
        <v>73521</v>
      </c>
      <c r="E244" s="8">
        <v>90556</v>
      </c>
      <c r="F244" s="8">
        <v>155573</v>
      </c>
      <c r="G244" s="8">
        <v>470889</v>
      </c>
      <c r="H244" s="22">
        <f t="shared" si="3"/>
        <v>0.0144922999874797</v>
      </c>
      <c r="I244" s="5">
        <v>83</v>
      </c>
      <c r="J244" s="5">
        <v>67</v>
      </c>
      <c r="K244" s="5">
        <v>50</v>
      </c>
      <c r="L244" s="5">
        <v>45</v>
      </c>
      <c r="M244" s="5">
        <v>38</v>
      </c>
      <c r="N244" s="15"/>
      <c r="O244" s="15"/>
      <c r="P244" s="15"/>
      <c r="Q244" s="15"/>
      <c r="R244" s="15"/>
    </row>
    <row r="245" spans="1:18">
      <c r="A245" s="5">
        <v>241</v>
      </c>
      <c r="B245" s="5">
        <f>ROUND(A245*설정!$C$16/60,1)</f>
        <v>160.7</v>
      </c>
      <c r="C245" s="8">
        <v>65057</v>
      </c>
      <c r="D245" s="8">
        <v>73521</v>
      </c>
      <c r="E245" s="8">
        <v>90556</v>
      </c>
      <c r="F245" s="8">
        <v>156137</v>
      </c>
      <c r="G245" s="8">
        <v>470889</v>
      </c>
      <c r="H245" s="22">
        <f t="shared" si="3"/>
        <v>0.00362531239394026</v>
      </c>
      <c r="I245" s="5">
        <v>83</v>
      </c>
      <c r="J245" s="5">
        <v>67</v>
      </c>
      <c r="K245" s="5">
        <v>50</v>
      </c>
      <c r="L245" s="5">
        <v>45</v>
      </c>
      <c r="M245" s="5">
        <v>38</v>
      </c>
      <c r="N245" s="15"/>
      <c r="O245" s="15"/>
      <c r="P245" s="15"/>
      <c r="Q245" s="15"/>
      <c r="R245" s="15"/>
    </row>
    <row r="246" spans="1:18">
      <c r="A246" s="5">
        <v>242</v>
      </c>
      <c r="B246" s="5">
        <f>ROUND(A246*설정!$C$16/60,1)</f>
        <v>161.3</v>
      </c>
      <c r="C246" s="8">
        <v>65057</v>
      </c>
      <c r="D246" s="8">
        <v>73521</v>
      </c>
      <c r="E246" s="8">
        <v>90556</v>
      </c>
      <c r="F246" s="8">
        <v>156137</v>
      </c>
      <c r="G246" s="8">
        <v>470889</v>
      </c>
      <c r="H246" s="22">
        <f t="shared" si="3"/>
        <v>0</v>
      </c>
      <c r="I246" s="5">
        <v>83</v>
      </c>
      <c r="J246" s="5">
        <v>67</v>
      </c>
      <c r="K246" s="5">
        <v>50</v>
      </c>
      <c r="L246" s="5">
        <v>45</v>
      </c>
      <c r="M246" s="5">
        <v>38</v>
      </c>
      <c r="N246" s="15"/>
      <c r="O246" s="15"/>
      <c r="P246" s="15"/>
      <c r="Q246" s="15"/>
      <c r="R246" s="15"/>
    </row>
    <row r="247" spans="1:18">
      <c r="A247" s="5">
        <v>243</v>
      </c>
      <c r="B247" s="5">
        <f>ROUND(A247*설정!$C$16/60,1)</f>
        <v>162</v>
      </c>
      <c r="C247" s="8">
        <v>65057</v>
      </c>
      <c r="D247" s="8">
        <v>73521</v>
      </c>
      <c r="E247" s="8">
        <v>90556</v>
      </c>
      <c r="F247" s="8">
        <v>156137</v>
      </c>
      <c r="G247" s="8">
        <v>479945</v>
      </c>
      <c r="H247" s="22">
        <f t="shared" si="3"/>
        <v>0</v>
      </c>
      <c r="I247" s="5">
        <v>83</v>
      </c>
      <c r="J247" s="5">
        <v>67</v>
      </c>
      <c r="K247" s="5">
        <v>50</v>
      </c>
      <c r="L247" s="5">
        <v>45</v>
      </c>
      <c r="M247" s="5">
        <v>38</v>
      </c>
      <c r="N247" s="15"/>
      <c r="O247" s="15"/>
      <c r="P247" s="15"/>
      <c r="Q247" s="15"/>
      <c r="R247" s="15"/>
    </row>
    <row r="248" spans="1:18">
      <c r="A248" s="5">
        <v>244</v>
      </c>
      <c r="B248" s="5">
        <f>ROUND(A248*설정!$C$16/60,1)</f>
        <v>162.7</v>
      </c>
      <c r="C248" s="8">
        <v>65057</v>
      </c>
      <c r="D248" s="8">
        <v>73521</v>
      </c>
      <c r="E248" s="8">
        <v>90816</v>
      </c>
      <c r="F248" s="8">
        <v>156137</v>
      </c>
      <c r="G248" s="8">
        <v>481324</v>
      </c>
      <c r="H248" s="22">
        <f t="shared" si="3"/>
        <v>0</v>
      </c>
      <c r="I248" s="5">
        <v>83</v>
      </c>
      <c r="J248" s="5">
        <v>68</v>
      </c>
      <c r="K248" s="5">
        <v>50</v>
      </c>
      <c r="L248" s="5">
        <v>45</v>
      </c>
      <c r="M248" s="5">
        <v>38</v>
      </c>
      <c r="N248" s="15"/>
      <c r="O248" s="15"/>
      <c r="P248" s="15"/>
      <c r="Q248" s="15"/>
      <c r="R248" s="15"/>
    </row>
    <row r="249" spans="1:18">
      <c r="A249" s="5">
        <v>245</v>
      </c>
      <c r="B249" s="5">
        <f>ROUND(A249*설정!$C$16/60,1)</f>
        <v>163.3</v>
      </c>
      <c r="C249" s="8">
        <v>65726</v>
      </c>
      <c r="D249" s="8">
        <v>74901</v>
      </c>
      <c r="E249" s="8">
        <v>90816</v>
      </c>
      <c r="F249" s="8">
        <v>157743</v>
      </c>
      <c r="G249" s="8">
        <v>481324</v>
      </c>
      <c r="H249" s="22">
        <f t="shared" si="3"/>
        <v>0.0102832900379668</v>
      </c>
      <c r="I249" s="5">
        <v>83</v>
      </c>
      <c r="J249" s="5">
        <v>68</v>
      </c>
      <c r="K249" s="5">
        <v>50</v>
      </c>
      <c r="L249" s="5">
        <v>45</v>
      </c>
      <c r="M249" s="5">
        <v>38</v>
      </c>
      <c r="N249" s="15"/>
      <c r="O249" s="15"/>
      <c r="P249" s="15"/>
      <c r="Q249" s="15"/>
      <c r="R249" s="15"/>
    </row>
    <row r="250" spans="1:18">
      <c r="A250" s="5">
        <v>246</v>
      </c>
      <c r="B250" s="5">
        <f>ROUND(A250*설정!$C$16/60,1)</f>
        <v>164</v>
      </c>
      <c r="C250" s="8">
        <v>65726</v>
      </c>
      <c r="D250" s="8">
        <v>74901</v>
      </c>
      <c r="E250" s="8">
        <v>90816</v>
      </c>
      <c r="F250" s="8">
        <v>157743</v>
      </c>
      <c r="G250" s="8">
        <v>481324</v>
      </c>
      <c r="H250" s="22">
        <f t="shared" si="3"/>
        <v>0</v>
      </c>
      <c r="I250" s="5">
        <v>83</v>
      </c>
      <c r="J250" s="5">
        <v>68</v>
      </c>
      <c r="K250" s="5">
        <v>50</v>
      </c>
      <c r="L250" s="5">
        <v>45</v>
      </c>
      <c r="M250" s="5">
        <v>38</v>
      </c>
      <c r="N250" s="15"/>
      <c r="O250" s="15"/>
      <c r="P250" s="15"/>
      <c r="Q250" s="15"/>
      <c r="R250" s="15"/>
    </row>
    <row r="251" spans="1:18">
      <c r="A251" s="5">
        <v>247</v>
      </c>
      <c r="B251" s="5">
        <f>ROUND(A251*설정!$C$16/60,1)</f>
        <v>164.7</v>
      </c>
      <c r="C251" s="8">
        <v>65726</v>
      </c>
      <c r="D251" s="8">
        <v>74901</v>
      </c>
      <c r="E251" s="8">
        <v>90816</v>
      </c>
      <c r="F251" s="8">
        <v>157743</v>
      </c>
      <c r="G251" s="8">
        <v>481324</v>
      </c>
      <c r="H251" s="22">
        <f t="shared" si="3"/>
        <v>0</v>
      </c>
      <c r="I251" s="5">
        <v>83</v>
      </c>
      <c r="J251" s="5">
        <v>68</v>
      </c>
      <c r="K251" s="5">
        <v>50</v>
      </c>
      <c r="L251" s="5">
        <v>45</v>
      </c>
      <c r="M251" s="5">
        <v>38</v>
      </c>
      <c r="N251" s="15"/>
      <c r="O251" s="15"/>
      <c r="P251" s="15"/>
      <c r="Q251" s="15"/>
      <c r="R251" s="15"/>
    </row>
    <row r="252" spans="1:18">
      <c r="A252" s="5">
        <v>248</v>
      </c>
      <c r="B252" s="5">
        <f>ROUND(A252*설정!$C$16/60,1)</f>
        <v>165.3</v>
      </c>
      <c r="C252" s="8">
        <v>65726</v>
      </c>
      <c r="D252" s="8">
        <v>74901</v>
      </c>
      <c r="E252" s="8">
        <v>91684</v>
      </c>
      <c r="F252" s="8">
        <v>157743</v>
      </c>
      <c r="G252" s="8">
        <v>485925</v>
      </c>
      <c r="H252" s="22">
        <f t="shared" si="3"/>
        <v>0</v>
      </c>
      <c r="I252" s="5">
        <v>83</v>
      </c>
      <c r="J252" s="5">
        <v>68</v>
      </c>
      <c r="K252" s="5">
        <v>50</v>
      </c>
      <c r="L252" s="5">
        <v>45</v>
      </c>
      <c r="M252" s="5">
        <v>38</v>
      </c>
      <c r="N252" s="15"/>
      <c r="O252" s="15"/>
      <c r="P252" s="15"/>
      <c r="Q252" s="15"/>
      <c r="R252" s="15"/>
    </row>
    <row r="253" spans="1:18">
      <c r="A253" s="5">
        <v>249</v>
      </c>
      <c r="B253" s="5">
        <f>ROUND(A253*설정!$C$16/60,1)</f>
        <v>166</v>
      </c>
      <c r="C253" s="8">
        <v>65726</v>
      </c>
      <c r="D253" s="8">
        <v>75652</v>
      </c>
      <c r="E253" s="8">
        <v>91684</v>
      </c>
      <c r="F253" s="8">
        <v>157743</v>
      </c>
      <c r="G253" s="8">
        <v>485925</v>
      </c>
      <c r="H253" s="22">
        <f t="shared" si="3"/>
        <v>0</v>
      </c>
      <c r="I253" s="5">
        <v>83</v>
      </c>
      <c r="J253" s="5">
        <v>68</v>
      </c>
      <c r="K253" s="5">
        <v>50</v>
      </c>
      <c r="L253" s="5">
        <v>45</v>
      </c>
      <c r="M253" s="5">
        <v>38</v>
      </c>
      <c r="N253" s="15"/>
      <c r="O253" s="15"/>
      <c r="P253" s="15"/>
      <c r="Q253" s="15"/>
      <c r="R253" s="15"/>
    </row>
    <row r="254" spans="1:18">
      <c r="A254" s="5">
        <v>250</v>
      </c>
      <c r="B254" s="5">
        <f>ROUND(A254*설정!$C$16/60,1)</f>
        <v>166.7</v>
      </c>
      <c r="C254" s="8">
        <v>65726</v>
      </c>
      <c r="D254" s="8">
        <v>75898</v>
      </c>
      <c r="E254" s="8">
        <v>91684</v>
      </c>
      <c r="F254" s="8">
        <v>157743</v>
      </c>
      <c r="G254" s="8">
        <v>485925</v>
      </c>
      <c r="H254" s="22">
        <f t="shared" si="3"/>
        <v>0</v>
      </c>
      <c r="I254" s="5">
        <v>83</v>
      </c>
      <c r="J254" s="5">
        <v>68</v>
      </c>
      <c r="K254" s="5">
        <v>50</v>
      </c>
      <c r="L254" s="5">
        <v>45</v>
      </c>
      <c r="M254" s="5">
        <v>38</v>
      </c>
      <c r="N254" s="15"/>
      <c r="O254" s="15"/>
      <c r="P254" s="15"/>
      <c r="Q254" s="15"/>
      <c r="R254" s="15"/>
    </row>
    <row r="255" spans="1:18">
      <c r="A255" s="5">
        <v>251</v>
      </c>
      <c r="B255" s="5">
        <f>ROUND(A255*설정!$C$16/60,1)</f>
        <v>167.3</v>
      </c>
      <c r="C255" s="8">
        <v>65726</v>
      </c>
      <c r="D255" s="8">
        <v>75898</v>
      </c>
      <c r="E255" s="8">
        <v>91684</v>
      </c>
      <c r="F255" s="8">
        <v>157743</v>
      </c>
      <c r="G255" s="8">
        <v>485925</v>
      </c>
      <c r="H255" s="22">
        <f t="shared" si="3"/>
        <v>0</v>
      </c>
      <c r="I255" s="5">
        <v>84</v>
      </c>
      <c r="J255" s="5">
        <v>68</v>
      </c>
      <c r="K255" s="5">
        <v>50</v>
      </c>
      <c r="L255" s="5">
        <v>45</v>
      </c>
      <c r="M255" s="5">
        <v>38</v>
      </c>
      <c r="N255" s="15"/>
      <c r="O255" s="15"/>
      <c r="P255" s="15"/>
      <c r="Q255" s="15"/>
      <c r="R255" s="15"/>
    </row>
    <row r="256" spans="1:18">
      <c r="A256" s="5">
        <v>252</v>
      </c>
      <c r="B256" s="5">
        <f>ROUND(A256*설정!$C$16/60,1)</f>
        <v>168</v>
      </c>
      <c r="C256" s="8">
        <v>66995</v>
      </c>
      <c r="D256" s="8">
        <v>75898</v>
      </c>
      <c r="E256" s="8">
        <v>91684</v>
      </c>
      <c r="F256" s="8">
        <v>160789</v>
      </c>
      <c r="G256" s="8">
        <v>485925</v>
      </c>
      <c r="H256" s="22">
        <f t="shared" si="3"/>
        <v>0.0193074278063476</v>
      </c>
      <c r="I256" s="5">
        <v>84</v>
      </c>
      <c r="J256" s="5">
        <v>68</v>
      </c>
      <c r="K256" s="5">
        <v>50</v>
      </c>
      <c r="L256" s="5">
        <v>45</v>
      </c>
      <c r="M256" s="5">
        <v>38</v>
      </c>
      <c r="N256" s="15"/>
      <c r="O256" s="15"/>
      <c r="P256" s="15"/>
      <c r="Q256" s="15"/>
      <c r="R256" s="15"/>
    </row>
    <row r="257" spans="1:18">
      <c r="A257" s="5">
        <v>253</v>
      </c>
      <c r="B257" s="5">
        <f>ROUND(A257*설정!$C$16/60,1)</f>
        <v>168.7</v>
      </c>
      <c r="C257" s="8">
        <v>66995</v>
      </c>
      <c r="D257" s="8">
        <v>75898</v>
      </c>
      <c r="E257" s="8">
        <v>91684</v>
      </c>
      <c r="F257" s="8">
        <v>160789</v>
      </c>
      <c r="G257" s="8">
        <v>485925</v>
      </c>
      <c r="H257" s="22">
        <f t="shared" si="3"/>
        <v>0</v>
      </c>
      <c r="I257" s="5">
        <v>84</v>
      </c>
      <c r="J257" s="5">
        <v>68</v>
      </c>
      <c r="K257" s="5">
        <v>50</v>
      </c>
      <c r="L257" s="5">
        <v>45</v>
      </c>
      <c r="M257" s="5">
        <v>38</v>
      </c>
      <c r="N257" s="15"/>
      <c r="O257" s="15"/>
      <c r="P257" s="15"/>
      <c r="Q257" s="15"/>
      <c r="R257" s="15"/>
    </row>
    <row r="258" spans="1:18">
      <c r="A258" s="5">
        <v>254</v>
      </c>
      <c r="B258" s="5">
        <f>ROUND(A258*설정!$C$16/60,1)</f>
        <v>169.3</v>
      </c>
      <c r="C258" s="8">
        <v>66995</v>
      </c>
      <c r="D258" s="8">
        <v>75898</v>
      </c>
      <c r="E258" s="8">
        <v>92906</v>
      </c>
      <c r="F258" s="8">
        <v>160789</v>
      </c>
      <c r="G258" s="8">
        <v>492404</v>
      </c>
      <c r="H258" s="22">
        <f t="shared" si="3"/>
        <v>0</v>
      </c>
      <c r="I258" s="5">
        <v>84</v>
      </c>
      <c r="J258" s="5">
        <v>68</v>
      </c>
      <c r="K258" s="5">
        <v>50</v>
      </c>
      <c r="L258" s="5">
        <v>45</v>
      </c>
      <c r="M258" s="5">
        <v>38</v>
      </c>
      <c r="N258" s="15"/>
      <c r="O258" s="15"/>
      <c r="P258" s="15"/>
      <c r="Q258" s="15"/>
      <c r="R258" s="15"/>
    </row>
    <row r="259" spans="1:18">
      <c r="A259" s="5">
        <v>255</v>
      </c>
      <c r="B259" s="5">
        <f>ROUND(A259*설정!$C$16/60,1)</f>
        <v>170</v>
      </c>
      <c r="C259" s="8">
        <v>66995</v>
      </c>
      <c r="D259" s="8">
        <v>75898</v>
      </c>
      <c r="E259" s="8">
        <v>92906</v>
      </c>
      <c r="F259" s="8">
        <v>160789</v>
      </c>
      <c r="G259" s="8">
        <v>492404</v>
      </c>
      <c r="H259" s="22">
        <f t="shared" si="3"/>
        <v>0</v>
      </c>
      <c r="I259" s="5">
        <v>84</v>
      </c>
      <c r="J259" s="5">
        <v>68</v>
      </c>
      <c r="K259" s="5">
        <v>50</v>
      </c>
      <c r="L259" s="5">
        <v>45</v>
      </c>
      <c r="M259" s="5">
        <v>38</v>
      </c>
      <c r="N259" s="15"/>
      <c r="O259" s="15"/>
      <c r="P259" s="15"/>
      <c r="Q259" s="15"/>
      <c r="R259" s="15"/>
    </row>
    <row r="260" spans="1:18">
      <c r="A260" s="5">
        <v>256</v>
      </c>
      <c r="B260" s="5">
        <f>ROUND(A260*설정!$C$16/60,1)</f>
        <v>170.7</v>
      </c>
      <c r="C260" s="8">
        <v>66995</v>
      </c>
      <c r="D260" s="8">
        <v>75898</v>
      </c>
      <c r="E260" s="8">
        <v>92906</v>
      </c>
      <c r="F260" s="8">
        <v>160789</v>
      </c>
      <c r="G260" s="8">
        <v>492404</v>
      </c>
      <c r="H260" s="22">
        <f t="shared" si="3"/>
        <v>0</v>
      </c>
      <c r="I260" s="5">
        <v>84</v>
      </c>
      <c r="J260" s="5">
        <v>68</v>
      </c>
      <c r="K260" s="5">
        <v>50</v>
      </c>
      <c r="L260" s="5">
        <v>45</v>
      </c>
      <c r="M260" s="5">
        <v>38</v>
      </c>
      <c r="N260" s="15"/>
      <c r="O260" s="15"/>
      <c r="P260" s="15"/>
      <c r="Q260" s="15"/>
      <c r="R260" s="15"/>
    </row>
    <row r="261" spans="1:18">
      <c r="A261" s="5">
        <v>257</v>
      </c>
      <c r="B261" s="5">
        <f>ROUND(A261*설정!$C$16/60,1)</f>
        <v>171.3</v>
      </c>
      <c r="C261" s="8">
        <v>66995</v>
      </c>
      <c r="D261" s="8">
        <v>75898</v>
      </c>
      <c r="E261" s="8">
        <v>92906</v>
      </c>
      <c r="F261" s="8">
        <v>160789</v>
      </c>
      <c r="G261" s="8">
        <v>492404</v>
      </c>
      <c r="H261" s="22">
        <f t="shared" si="3"/>
        <v>0</v>
      </c>
      <c r="I261" s="5">
        <v>84</v>
      </c>
      <c r="J261" s="5">
        <v>68</v>
      </c>
      <c r="K261" s="5">
        <v>50</v>
      </c>
      <c r="L261" s="5">
        <v>45</v>
      </c>
      <c r="M261" s="5">
        <v>38</v>
      </c>
      <c r="N261" s="15"/>
      <c r="O261" s="15"/>
      <c r="P261" s="15"/>
      <c r="Q261" s="15"/>
      <c r="R261" s="15"/>
    </row>
    <row r="262" spans="1:18">
      <c r="A262" s="5">
        <v>258</v>
      </c>
      <c r="B262" s="5">
        <f>ROUND(A262*설정!$C$16/60,1)</f>
        <v>172</v>
      </c>
      <c r="C262" s="8">
        <v>66995</v>
      </c>
      <c r="D262" s="8">
        <v>77309</v>
      </c>
      <c r="E262" s="8">
        <v>92906</v>
      </c>
      <c r="F262" s="8">
        <v>160789</v>
      </c>
      <c r="G262" s="8">
        <v>492404</v>
      </c>
      <c r="H262" s="22">
        <f t="shared" ref="H262:H304" si="4">IF(C261&gt;0,C262/C261-1,0)</f>
        <v>0</v>
      </c>
      <c r="I262" s="5">
        <v>84</v>
      </c>
      <c r="J262" s="5">
        <v>68</v>
      </c>
      <c r="K262" s="5">
        <v>50</v>
      </c>
      <c r="L262" s="5">
        <v>45</v>
      </c>
      <c r="M262" s="5">
        <v>38</v>
      </c>
      <c r="N262" s="15"/>
      <c r="O262" s="15"/>
      <c r="P262" s="15"/>
      <c r="Q262" s="15"/>
      <c r="R262" s="15"/>
    </row>
    <row r="263" spans="1:18">
      <c r="A263" s="5">
        <v>259</v>
      </c>
      <c r="B263" s="5">
        <f>ROUND(A263*설정!$C$16/60,1)</f>
        <v>172.7</v>
      </c>
      <c r="C263" s="8">
        <v>66995</v>
      </c>
      <c r="D263" s="8">
        <v>77309</v>
      </c>
      <c r="E263" s="8">
        <v>92906</v>
      </c>
      <c r="F263" s="8">
        <v>160789</v>
      </c>
      <c r="G263" s="8">
        <v>492404</v>
      </c>
      <c r="H263" s="22">
        <f t="shared" si="4"/>
        <v>0</v>
      </c>
      <c r="I263" s="5">
        <v>84</v>
      </c>
      <c r="J263" s="5">
        <v>68</v>
      </c>
      <c r="K263" s="5">
        <v>50</v>
      </c>
      <c r="L263" s="5">
        <v>45</v>
      </c>
      <c r="M263" s="5">
        <v>39</v>
      </c>
      <c r="N263" s="15"/>
      <c r="O263" s="15"/>
      <c r="P263" s="15"/>
      <c r="Q263" s="15"/>
      <c r="R263" s="15"/>
    </row>
    <row r="264" spans="1:18">
      <c r="A264" s="5">
        <v>260</v>
      </c>
      <c r="B264" s="5">
        <f>ROUND(A264*설정!$C$16/60,1)</f>
        <v>173.3</v>
      </c>
      <c r="C264" s="8">
        <v>66995</v>
      </c>
      <c r="D264" s="8">
        <v>77309</v>
      </c>
      <c r="E264" s="8">
        <v>92906</v>
      </c>
      <c r="F264" s="8">
        <v>164138</v>
      </c>
      <c r="G264" s="8">
        <v>492404</v>
      </c>
      <c r="H264" s="22">
        <f t="shared" si="4"/>
        <v>0</v>
      </c>
      <c r="I264" s="5">
        <v>84</v>
      </c>
      <c r="J264" s="5">
        <v>68</v>
      </c>
      <c r="K264" s="5">
        <v>50</v>
      </c>
      <c r="L264" s="5">
        <v>45</v>
      </c>
      <c r="M264" s="5">
        <v>39</v>
      </c>
      <c r="N264" s="15"/>
      <c r="O264" s="15"/>
      <c r="P264" s="15"/>
      <c r="Q264" s="15"/>
      <c r="R264" s="15"/>
    </row>
    <row r="265" spans="1:18">
      <c r="A265" s="5">
        <v>261</v>
      </c>
      <c r="B265" s="5">
        <f>ROUND(A265*설정!$C$16/60,1)</f>
        <v>174</v>
      </c>
      <c r="C265" s="8">
        <v>66995</v>
      </c>
      <c r="D265" s="8">
        <v>77309</v>
      </c>
      <c r="E265" s="8">
        <v>92906</v>
      </c>
      <c r="F265" s="8">
        <v>164138</v>
      </c>
      <c r="G265" s="8">
        <v>492404</v>
      </c>
      <c r="H265" s="22">
        <f t="shared" si="4"/>
        <v>0</v>
      </c>
      <c r="I265" s="5">
        <v>84</v>
      </c>
      <c r="J265" s="5">
        <v>68</v>
      </c>
      <c r="K265" s="5">
        <v>50</v>
      </c>
      <c r="L265" s="5">
        <v>45</v>
      </c>
      <c r="M265" s="5">
        <v>39</v>
      </c>
      <c r="N265" s="15"/>
      <c r="O265" s="15"/>
      <c r="P265" s="15"/>
      <c r="Q265" s="15"/>
      <c r="R265" s="15"/>
    </row>
    <row r="266" spans="1:18">
      <c r="A266" s="5">
        <v>262</v>
      </c>
      <c r="B266" s="5">
        <f>ROUND(A266*설정!$C$16/60,1)</f>
        <v>174.7</v>
      </c>
      <c r="C266" s="8">
        <v>66995</v>
      </c>
      <c r="D266" s="8">
        <v>77309</v>
      </c>
      <c r="E266" s="8">
        <v>94565</v>
      </c>
      <c r="F266" s="8">
        <v>164138</v>
      </c>
      <c r="G266" s="8">
        <v>501192</v>
      </c>
      <c r="H266" s="22">
        <f t="shared" si="4"/>
        <v>0</v>
      </c>
      <c r="I266" s="5">
        <v>84</v>
      </c>
      <c r="J266" s="5">
        <v>68</v>
      </c>
      <c r="K266" s="5">
        <v>50</v>
      </c>
      <c r="L266" s="5">
        <v>45</v>
      </c>
      <c r="M266" s="5">
        <v>39</v>
      </c>
      <c r="N266" s="15"/>
      <c r="O266" s="15"/>
      <c r="P266" s="15"/>
      <c r="Q266" s="15"/>
      <c r="R266" s="15"/>
    </row>
    <row r="267" spans="1:18">
      <c r="A267" s="5">
        <v>263</v>
      </c>
      <c r="B267" s="5">
        <f>ROUND(A267*설정!$C$16/60,1)</f>
        <v>175.3</v>
      </c>
      <c r="C267" s="8">
        <v>66995</v>
      </c>
      <c r="D267" s="8">
        <v>77309</v>
      </c>
      <c r="E267" s="8">
        <v>94565</v>
      </c>
      <c r="F267" s="8">
        <v>164138</v>
      </c>
      <c r="G267" s="8">
        <v>501192</v>
      </c>
      <c r="H267" s="22">
        <f t="shared" si="4"/>
        <v>0</v>
      </c>
      <c r="I267" s="5">
        <v>84</v>
      </c>
      <c r="J267" s="5">
        <v>69</v>
      </c>
      <c r="K267" s="5">
        <v>50</v>
      </c>
      <c r="L267" s="5">
        <v>45</v>
      </c>
      <c r="M267" s="5">
        <v>39</v>
      </c>
      <c r="N267" s="15"/>
      <c r="O267" s="15"/>
      <c r="P267" s="15"/>
      <c r="Q267" s="15"/>
      <c r="R267" s="15"/>
    </row>
    <row r="268" spans="1:18">
      <c r="A268" s="5">
        <v>264</v>
      </c>
      <c r="B268" s="5">
        <f>ROUND(A268*설정!$C$16/60,1)</f>
        <v>176</v>
      </c>
      <c r="C268" s="8">
        <v>67680</v>
      </c>
      <c r="D268" s="8">
        <v>78383</v>
      </c>
      <c r="E268" s="8">
        <v>94565</v>
      </c>
      <c r="F268" s="8">
        <v>165815</v>
      </c>
      <c r="G268" s="8">
        <v>501192</v>
      </c>
      <c r="H268" s="22">
        <f t="shared" si="4"/>
        <v>0.0102246436301217</v>
      </c>
      <c r="I268" s="5">
        <v>84</v>
      </c>
      <c r="J268" s="5">
        <v>69</v>
      </c>
      <c r="K268" s="5">
        <v>50</v>
      </c>
      <c r="L268" s="5">
        <v>45</v>
      </c>
      <c r="M268" s="5">
        <v>39</v>
      </c>
      <c r="N268" s="15"/>
      <c r="O268" s="15"/>
      <c r="P268" s="15"/>
      <c r="Q268" s="15"/>
      <c r="R268" s="15"/>
    </row>
    <row r="269" spans="1:18">
      <c r="A269" s="5">
        <v>265</v>
      </c>
      <c r="B269" s="5">
        <f>ROUND(A269*설정!$C$16/60,1)</f>
        <v>176.7</v>
      </c>
      <c r="C269" s="8">
        <v>67680</v>
      </c>
      <c r="D269" s="8">
        <v>78383</v>
      </c>
      <c r="E269" s="8">
        <v>94565</v>
      </c>
      <c r="F269" s="8">
        <v>165815</v>
      </c>
      <c r="G269" s="8">
        <v>501192</v>
      </c>
      <c r="H269" s="22">
        <f t="shared" si="4"/>
        <v>0</v>
      </c>
      <c r="I269" s="5">
        <v>84</v>
      </c>
      <c r="J269" s="5">
        <v>69</v>
      </c>
      <c r="K269" s="5">
        <v>50</v>
      </c>
      <c r="L269" s="5">
        <v>45</v>
      </c>
      <c r="M269" s="5">
        <v>39</v>
      </c>
      <c r="N269" s="15"/>
      <c r="O269" s="15"/>
      <c r="P269" s="15"/>
      <c r="Q269" s="15"/>
      <c r="R269" s="15"/>
    </row>
    <row r="270" spans="1:18">
      <c r="A270" s="5">
        <v>266</v>
      </c>
      <c r="B270" s="5">
        <f>ROUND(A270*설정!$C$16/60,1)</f>
        <v>177.3</v>
      </c>
      <c r="C270" s="8">
        <v>67680</v>
      </c>
      <c r="D270" s="8">
        <v>78383</v>
      </c>
      <c r="E270" s="8">
        <v>95462</v>
      </c>
      <c r="F270" s="8">
        <v>165815</v>
      </c>
      <c r="G270" s="8">
        <v>505949</v>
      </c>
      <c r="H270" s="22">
        <f t="shared" si="4"/>
        <v>0</v>
      </c>
      <c r="I270" s="5">
        <v>84</v>
      </c>
      <c r="J270" s="5">
        <v>69</v>
      </c>
      <c r="K270" s="5">
        <v>50</v>
      </c>
      <c r="L270" s="5">
        <v>45</v>
      </c>
      <c r="M270" s="5">
        <v>39</v>
      </c>
      <c r="N270" s="15"/>
      <c r="O270" s="15"/>
      <c r="P270" s="15"/>
      <c r="Q270" s="15"/>
      <c r="R270" s="15"/>
    </row>
    <row r="271" spans="1:18">
      <c r="A271" s="5">
        <v>267</v>
      </c>
      <c r="B271" s="5">
        <f>ROUND(A271*설정!$C$16/60,1)</f>
        <v>178</v>
      </c>
      <c r="C271" s="8">
        <v>67680</v>
      </c>
      <c r="D271" s="8">
        <v>78383</v>
      </c>
      <c r="E271" s="8">
        <v>95462</v>
      </c>
      <c r="F271" s="8">
        <v>165815</v>
      </c>
      <c r="G271" s="8">
        <v>505949</v>
      </c>
      <c r="H271" s="22">
        <f t="shared" si="4"/>
        <v>0</v>
      </c>
      <c r="I271" s="5">
        <v>84</v>
      </c>
      <c r="J271" s="5">
        <v>69</v>
      </c>
      <c r="K271" s="5">
        <v>50</v>
      </c>
      <c r="L271" s="5">
        <v>45</v>
      </c>
      <c r="M271" s="5">
        <v>39</v>
      </c>
      <c r="N271" s="15"/>
      <c r="O271" s="15"/>
      <c r="P271" s="15"/>
      <c r="Q271" s="15"/>
      <c r="R271" s="15"/>
    </row>
    <row r="272" spans="1:18">
      <c r="A272" s="5">
        <v>268</v>
      </c>
      <c r="B272" s="5">
        <f>ROUND(A272*설정!$C$16/60,1)</f>
        <v>178.7</v>
      </c>
      <c r="C272" s="8">
        <v>67680</v>
      </c>
      <c r="D272" s="8">
        <v>79161</v>
      </c>
      <c r="E272" s="8">
        <v>95727</v>
      </c>
      <c r="F272" s="8">
        <v>165815</v>
      </c>
      <c r="G272" s="8">
        <v>507354</v>
      </c>
      <c r="H272" s="22">
        <f t="shared" si="4"/>
        <v>0</v>
      </c>
      <c r="I272" s="5">
        <v>84</v>
      </c>
      <c r="J272" s="5">
        <v>69</v>
      </c>
      <c r="K272" s="5">
        <v>50</v>
      </c>
      <c r="L272" s="5">
        <v>46</v>
      </c>
      <c r="M272" s="5">
        <v>39</v>
      </c>
      <c r="N272" s="15"/>
      <c r="O272" s="15"/>
      <c r="P272" s="15"/>
      <c r="Q272" s="15"/>
      <c r="R272" s="15"/>
    </row>
    <row r="273" spans="1:18">
      <c r="A273" s="5">
        <v>269</v>
      </c>
      <c r="B273" s="5">
        <f>ROUND(A273*설정!$C$16/60,1)</f>
        <v>179.3</v>
      </c>
      <c r="C273" s="8">
        <v>68646</v>
      </c>
      <c r="D273" s="8">
        <v>79161</v>
      </c>
      <c r="E273" s="8">
        <v>95727</v>
      </c>
      <c r="F273" s="8">
        <v>168184</v>
      </c>
      <c r="G273" s="8">
        <v>507354</v>
      </c>
      <c r="H273" s="22">
        <f t="shared" si="4"/>
        <v>0.01427304964539</v>
      </c>
      <c r="I273" s="5">
        <v>84</v>
      </c>
      <c r="J273" s="5">
        <v>69</v>
      </c>
      <c r="K273" s="5">
        <v>50</v>
      </c>
      <c r="L273" s="5">
        <v>46</v>
      </c>
      <c r="M273" s="5">
        <v>39</v>
      </c>
      <c r="N273" s="15"/>
      <c r="O273" s="15"/>
      <c r="P273" s="15"/>
      <c r="Q273" s="15"/>
      <c r="R273" s="15"/>
    </row>
    <row r="274" spans="1:18">
      <c r="A274" s="5">
        <v>270</v>
      </c>
      <c r="B274" s="5">
        <f>ROUND(A274*설정!$C$16/60,1)</f>
        <v>180</v>
      </c>
      <c r="C274" s="8">
        <v>68646</v>
      </c>
      <c r="D274" s="8">
        <v>79161</v>
      </c>
      <c r="E274" s="8">
        <v>95727</v>
      </c>
      <c r="F274" s="8">
        <v>168184</v>
      </c>
      <c r="G274" s="8">
        <v>507354</v>
      </c>
      <c r="H274" s="22">
        <f t="shared" si="4"/>
        <v>0</v>
      </c>
      <c r="I274" s="5">
        <v>84</v>
      </c>
      <c r="J274" s="5">
        <v>69</v>
      </c>
      <c r="K274" s="5">
        <v>51</v>
      </c>
      <c r="L274" s="5">
        <v>46</v>
      </c>
      <c r="M274" s="5">
        <v>39</v>
      </c>
      <c r="N274" s="15"/>
      <c r="O274" s="15"/>
      <c r="P274" s="15"/>
      <c r="Q274" s="15"/>
      <c r="R274" s="15"/>
    </row>
    <row r="275" spans="1:18">
      <c r="A275" s="5">
        <v>271</v>
      </c>
      <c r="B275" s="5">
        <f>ROUND(A275*설정!$C$16/60,1)</f>
        <v>180.7</v>
      </c>
      <c r="C275" s="8">
        <v>68886</v>
      </c>
      <c r="D275" s="8">
        <v>79161</v>
      </c>
      <c r="E275" s="8">
        <v>95727</v>
      </c>
      <c r="F275" s="8">
        <v>168771</v>
      </c>
      <c r="G275" s="8">
        <v>507354</v>
      </c>
      <c r="H275" s="22">
        <f t="shared" si="4"/>
        <v>0.00349619788480027</v>
      </c>
      <c r="I275" s="5">
        <v>84</v>
      </c>
      <c r="J275" s="5">
        <v>69</v>
      </c>
      <c r="K275" s="5">
        <v>51</v>
      </c>
      <c r="L275" s="5">
        <v>46</v>
      </c>
      <c r="M275" s="5">
        <v>39</v>
      </c>
      <c r="N275" s="15"/>
      <c r="O275" s="15"/>
      <c r="P275" s="15"/>
      <c r="Q275" s="15"/>
      <c r="R275" s="15"/>
    </row>
    <row r="276" spans="1:18">
      <c r="A276" s="5">
        <v>272</v>
      </c>
      <c r="B276" s="5">
        <f>ROUND(A276*설정!$C$16/60,1)</f>
        <v>181.3</v>
      </c>
      <c r="C276" s="8">
        <v>68886</v>
      </c>
      <c r="D276" s="8">
        <v>79161</v>
      </c>
      <c r="E276" s="8">
        <v>95727</v>
      </c>
      <c r="F276" s="8">
        <v>168771</v>
      </c>
      <c r="G276" s="8">
        <v>507354</v>
      </c>
      <c r="H276" s="22">
        <f t="shared" si="4"/>
        <v>0</v>
      </c>
      <c r="I276" s="5">
        <v>84</v>
      </c>
      <c r="J276" s="5">
        <v>69</v>
      </c>
      <c r="K276" s="5">
        <v>51</v>
      </c>
      <c r="L276" s="5">
        <v>46</v>
      </c>
      <c r="M276" s="5">
        <v>39</v>
      </c>
      <c r="N276" s="15"/>
      <c r="O276" s="15"/>
      <c r="P276" s="15"/>
      <c r="Q276" s="15"/>
      <c r="R276" s="15"/>
    </row>
    <row r="277" spans="1:18">
      <c r="A277" s="5">
        <v>273</v>
      </c>
      <c r="B277" s="5">
        <f>ROUND(A277*설정!$C$16/60,1)</f>
        <v>182</v>
      </c>
      <c r="C277" s="8">
        <v>68886</v>
      </c>
      <c r="D277" s="8">
        <v>79161</v>
      </c>
      <c r="E277" s="8">
        <v>95727</v>
      </c>
      <c r="F277" s="8">
        <v>168771</v>
      </c>
      <c r="G277" s="8">
        <v>507354</v>
      </c>
      <c r="H277" s="22">
        <f t="shared" si="4"/>
        <v>0</v>
      </c>
      <c r="I277" s="5">
        <v>84</v>
      </c>
      <c r="J277" s="5">
        <v>69</v>
      </c>
      <c r="K277" s="5">
        <v>51</v>
      </c>
      <c r="L277" s="5">
        <v>46</v>
      </c>
      <c r="M277" s="5">
        <v>39</v>
      </c>
      <c r="N277" s="15"/>
      <c r="O277" s="15"/>
      <c r="P277" s="15"/>
      <c r="Q277" s="15"/>
      <c r="R277" s="15"/>
    </row>
    <row r="278" spans="1:18">
      <c r="A278" s="5">
        <v>274</v>
      </c>
      <c r="B278" s="5">
        <f>ROUND(A278*설정!$C$16/60,1)</f>
        <v>182.7</v>
      </c>
      <c r="C278" s="8">
        <v>68886</v>
      </c>
      <c r="D278" s="8">
        <v>79161</v>
      </c>
      <c r="E278" s="8">
        <v>95727</v>
      </c>
      <c r="F278" s="8">
        <v>168771</v>
      </c>
      <c r="G278" s="8">
        <v>507354</v>
      </c>
      <c r="H278" s="22">
        <f t="shared" si="4"/>
        <v>0</v>
      </c>
      <c r="I278" s="5">
        <v>84</v>
      </c>
      <c r="J278" s="5">
        <v>69</v>
      </c>
      <c r="K278" s="5">
        <v>51</v>
      </c>
      <c r="L278" s="5">
        <v>46</v>
      </c>
      <c r="M278" s="5">
        <v>39</v>
      </c>
      <c r="N278" s="15"/>
      <c r="O278" s="15"/>
      <c r="P278" s="15"/>
      <c r="Q278" s="15"/>
      <c r="R278" s="15"/>
    </row>
    <row r="279" spans="1:18">
      <c r="A279" s="5">
        <v>275</v>
      </c>
      <c r="B279" s="5">
        <f>ROUND(A279*설정!$C$16/60,1)</f>
        <v>183.3</v>
      </c>
      <c r="C279" s="8">
        <v>68886</v>
      </c>
      <c r="D279" s="8">
        <v>79161</v>
      </c>
      <c r="E279" s="8">
        <v>95727</v>
      </c>
      <c r="F279" s="8">
        <v>168771</v>
      </c>
      <c r="G279" s="8">
        <v>507354</v>
      </c>
      <c r="H279" s="22">
        <f t="shared" si="4"/>
        <v>0</v>
      </c>
      <c r="I279" s="5">
        <v>84</v>
      </c>
      <c r="J279" s="5">
        <v>69</v>
      </c>
      <c r="K279" s="5">
        <v>51</v>
      </c>
      <c r="L279" s="5">
        <v>46</v>
      </c>
      <c r="M279" s="5">
        <v>39</v>
      </c>
      <c r="N279" s="15"/>
      <c r="O279" s="15"/>
      <c r="P279" s="15"/>
      <c r="Q279" s="15"/>
      <c r="R279" s="15"/>
    </row>
    <row r="280" spans="1:18">
      <c r="A280" s="5">
        <v>276</v>
      </c>
      <c r="B280" s="5">
        <f>ROUND(A280*설정!$C$16/60,1)</f>
        <v>184</v>
      </c>
      <c r="C280" s="8">
        <v>68886</v>
      </c>
      <c r="D280" s="8">
        <v>79161</v>
      </c>
      <c r="E280" s="8">
        <v>97420</v>
      </c>
      <c r="F280" s="8">
        <v>168771</v>
      </c>
      <c r="G280" s="8">
        <v>516327</v>
      </c>
      <c r="H280" s="22">
        <f t="shared" si="4"/>
        <v>0</v>
      </c>
      <c r="I280" s="5">
        <v>84</v>
      </c>
      <c r="J280" s="5">
        <v>69</v>
      </c>
      <c r="K280" s="5">
        <v>51</v>
      </c>
      <c r="L280" s="5">
        <v>46</v>
      </c>
      <c r="M280" s="5">
        <v>39</v>
      </c>
      <c r="N280" s="15"/>
      <c r="O280" s="15"/>
      <c r="P280" s="15"/>
      <c r="Q280" s="15"/>
      <c r="R280" s="15"/>
    </row>
    <row r="281" spans="1:18">
      <c r="A281" s="5">
        <v>277</v>
      </c>
      <c r="B281" s="5">
        <f>ROUND(A281*설정!$C$16/60,1)</f>
        <v>184.7</v>
      </c>
      <c r="C281" s="8">
        <v>68886</v>
      </c>
      <c r="D281" s="8">
        <v>79161</v>
      </c>
      <c r="E281" s="8">
        <v>97420</v>
      </c>
      <c r="F281" s="8">
        <v>168771</v>
      </c>
      <c r="G281" s="8">
        <v>516327</v>
      </c>
      <c r="H281" s="22">
        <f t="shared" si="4"/>
        <v>0</v>
      </c>
      <c r="I281" s="5">
        <v>85</v>
      </c>
      <c r="J281" s="5">
        <v>69</v>
      </c>
      <c r="K281" s="5">
        <v>51</v>
      </c>
      <c r="L281" s="5">
        <v>46</v>
      </c>
      <c r="M281" s="5">
        <v>39</v>
      </c>
      <c r="N281" s="15"/>
      <c r="O281" s="15"/>
      <c r="P281" s="15"/>
      <c r="Q281" s="15"/>
      <c r="R281" s="15"/>
    </row>
    <row r="282" spans="1:18">
      <c r="A282" s="5">
        <v>278</v>
      </c>
      <c r="B282" s="5">
        <f>ROUND(A282*설정!$C$16/60,1)</f>
        <v>185.3</v>
      </c>
      <c r="C282" s="8">
        <v>70203</v>
      </c>
      <c r="D282" s="8">
        <v>79161</v>
      </c>
      <c r="E282" s="8">
        <v>97420</v>
      </c>
      <c r="F282" s="8">
        <v>171996</v>
      </c>
      <c r="G282" s="8">
        <v>516327</v>
      </c>
      <c r="H282" s="22">
        <f t="shared" si="4"/>
        <v>0.0191185436808641</v>
      </c>
      <c r="I282" s="5">
        <v>85</v>
      </c>
      <c r="J282" s="5">
        <v>69</v>
      </c>
      <c r="K282" s="5">
        <v>51</v>
      </c>
      <c r="L282" s="5">
        <v>46</v>
      </c>
      <c r="M282" s="5">
        <v>39</v>
      </c>
      <c r="N282" s="15"/>
      <c r="O282" s="15"/>
      <c r="P282" s="15"/>
      <c r="Q282" s="15"/>
      <c r="R282" s="15"/>
    </row>
    <row r="283" spans="1:18">
      <c r="A283" s="5">
        <v>279</v>
      </c>
      <c r="B283" s="5">
        <f>ROUND(A283*설정!$C$16/60,1)</f>
        <v>186</v>
      </c>
      <c r="C283" s="8">
        <v>70203</v>
      </c>
      <c r="D283" s="8">
        <v>79161</v>
      </c>
      <c r="E283" s="8">
        <v>97420</v>
      </c>
      <c r="F283" s="8">
        <v>171996</v>
      </c>
      <c r="G283" s="8">
        <v>516327</v>
      </c>
      <c r="H283" s="22">
        <f t="shared" si="4"/>
        <v>0</v>
      </c>
      <c r="I283" s="5">
        <v>85</v>
      </c>
      <c r="J283" s="5">
        <v>69</v>
      </c>
      <c r="K283" s="5">
        <v>51</v>
      </c>
      <c r="L283" s="5">
        <v>46</v>
      </c>
      <c r="M283" s="5">
        <v>39</v>
      </c>
      <c r="N283" s="15"/>
      <c r="O283" s="15"/>
      <c r="P283" s="15"/>
      <c r="Q283" s="15"/>
      <c r="R283" s="15"/>
    </row>
    <row r="284" spans="1:18">
      <c r="A284" s="5">
        <v>280</v>
      </c>
      <c r="B284" s="5">
        <f>ROUND(A284*설정!$C$16/60,1)</f>
        <v>186.7</v>
      </c>
      <c r="C284" s="8">
        <v>70203</v>
      </c>
      <c r="D284" s="8">
        <v>79161</v>
      </c>
      <c r="E284" s="8">
        <v>97420</v>
      </c>
      <c r="F284" s="8">
        <v>171996</v>
      </c>
      <c r="G284" s="8">
        <v>516327</v>
      </c>
      <c r="H284" s="22">
        <f t="shared" si="4"/>
        <v>0</v>
      </c>
      <c r="I284" s="5">
        <v>85</v>
      </c>
      <c r="J284" s="5">
        <v>69</v>
      </c>
      <c r="K284" s="5">
        <v>51</v>
      </c>
      <c r="L284" s="5">
        <v>46</v>
      </c>
      <c r="M284" s="5">
        <v>39</v>
      </c>
      <c r="N284" s="15"/>
      <c r="O284" s="15"/>
      <c r="P284" s="15"/>
      <c r="Q284" s="15"/>
      <c r="R284" s="15"/>
    </row>
    <row r="285" spans="1:18">
      <c r="A285" s="5">
        <v>281</v>
      </c>
      <c r="B285" s="5">
        <f>ROUND(A285*설정!$C$16/60,1)</f>
        <v>187.3</v>
      </c>
      <c r="C285" s="8">
        <v>70203</v>
      </c>
      <c r="D285" s="8">
        <v>79161</v>
      </c>
      <c r="E285" s="8">
        <v>97420</v>
      </c>
      <c r="F285" s="8">
        <v>171996</v>
      </c>
      <c r="G285" s="8">
        <v>516327</v>
      </c>
      <c r="H285" s="22">
        <f t="shared" si="4"/>
        <v>0</v>
      </c>
      <c r="I285" s="5">
        <v>85</v>
      </c>
      <c r="J285" s="5">
        <v>70</v>
      </c>
      <c r="K285" s="5">
        <v>51</v>
      </c>
      <c r="L285" s="5">
        <v>46</v>
      </c>
      <c r="M285" s="5">
        <v>39</v>
      </c>
      <c r="N285" s="15"/>
      <c r="O285" s="15"/>
      <c r="P285" s="15"/>
      <c r="Q285" s="15"/>
      <c r="R285" s="15"/>
    </row>
    <row r="286" spans="1:18">
      <c r="A286" s="5">
        <v>282</v>
      </c>
      <c r="B286" s="5">
        <f>ROUND(A286*설정!$C$16/60,1)</f>
        <v>188</v>
      </c>
      <c r="C286" s="8">
        <v>70912</v>
      </c>
      <c r="D286" s="8">
        <v>79161</v>
      </c>
      <c r="E286" s="8">
        <v>97420</v>
      </c>
      <c r="F286" s="8">
        <v>173735</v>
      </c>
      <c r="G286" s="8">
        <v>516327</v>
      </c>
      <c r="H286" s="22">
        <f t="shared" si="4"/>
        <v>0.0100992835064029</v>
      </c>
      <c r="I286" s="5">
        <v>85</v>
      </c>
      <c r="J286" s="5">
        <v>70</v>
      </c>
      <c r="K286" s="5">
        <v>51</v>
      </c>
      <c r="L286" s="5">
        <v>46</v>
      </c>
      <c r="M286" s="5">
        <v>39</v>
      </c>
      <c r="N286" s="15"/>
      <c r="O286" s="15"/>
      <c r="P286" s="15"/>
      <c r="Q286" s="15"/>
      <c r="R286" s="15"/>
    </row>
    <row r="287" spans="1:18">
      <c r="A287" s="5">
        <v>283</v>
      </c>
      <c r="B287" s="5">
        <f>ROUND(A287*설정!$C$16/60,1)</f>
        <v>188.7</v>
      </c>
      <c r="C287" s="8">
        <v>70912</v>
      </c>
      <c r="D287" s="8">
        <v>79161</v>
      </c>
      <c r="E287" s="8">
        <v>97420</v>
      </c>
      <c r="F287" s="8">
        <v>173735</v>
      </c>
      <c r="G287" s="8">
        <v>516327</v>
      </c>
      <c r="H287" s="22">
        <f t="shared" si="4"/>
        <v>0</v>
      </c>
      <c r="I287" s="5">
        <v>85</v>
      </c>
      <c r="J287" s="5">
        <v>70</v>
      </c>
      <c r="K287" s="5">
        <v>51</v>
      </c>
      <c r="L287" s="5">
        <v>46</v>
      </c>
      <c r="M287" s="5">
        <v>39</v>
      </c>
      <c r="N287" s="15"/>
      <c r="O287" s="15"/>
      <c r="P287" s="15"/>
      <c r="Q287" s="15"/>
      <c r="R287" s="15"/>
    </row>
    <row r="288" spans="1:18">
      <c r="A288" s="5">
        <v>284</v>
      </c>
      <c r="B288" s="5">
        <f>ROUND(A288*설정!$C$16/60,1)</f>
        <v>189.3</v>
      </c>
      <c r="C288" s="8">
        <v>70912</v>
      </c>
      <c r="D288" s="8">
        <v>79161</v>
      </c>
      <c r="E288" s="8">
        <v>97420</v>
      </c>
      <c r="F288" s="8">
        <v>173735</v>
      </c>
      <c r="G288" s="8">
        <v>516327</v>
      </c>
      <c r="H288" s="22">
        <f t="shared" si="4"/>
        <v>0</v>
      </c>
      <c r="I288" s="5">
        <v>85</v>
      </c>
      <c r="J288" s="5">
        <v>70</v>
      </c>
      <c r="K288" s="5">
        <v>51</v>
      </c>
      <c r="L288" s="5">
        <v>46</v>
      </c>
      <c r="M288" s="5">
        <v>39</v>
      </c>
      <c r="N288" s="15"/>
      <c r="O288" s="15"/>
      <c r="P288" s="15"/>
      <c r="Q288" s="15"/>
      <c r="R288" s="15"/>
    </row>
    <row r="289" spans="1:18">
      <c r="A289" s="5">
        <v>285</v>
      </c>
      <c r="B289" s="5">
        <f>ROUND(A289*설정!$C$16/60,1)</f>
        <v>190</v>
      </c>
      <c r="C289" s="8">
        <v>70912</v>
      </c>
      <c r="D289" s="8">
        <v>80624</v>
      </c>
      <c r="E289" s="8">
        <v>97420</v>
      </c>
      <c r="F289" s="8">
        <v>173735</v>
      </c>
      <c r="G289" s="8">
        <v>516327</v>
      </c>
      <c r="H289" s="22">
        <f t="shared" si="4"/>
        <v>0</v>
      </c>
      <c r="I289" s="5">
        <v>85</v>
      </c>
      <c r="J289" s="5">
        <v>70</v>
      </c>
      <c r="K289" s="5">
        <v>51</v>
      </c>
      <c r="L289" s="5">
        <v>46</v>
      </c>
      <c r="M289" s="5">
        <v>39</v>
      </c>
      <c r="N289" s="15"/>
      <c r="O289" s="15"/>
      <c r="P289" s="15"/>
      <c r="Q289" s="15"/>
      <c r="R289" s="15"/>
    </row>
    <row r="290" spans="1:18">
      <c r="A290" s="5">
        <v>286</v>
      </c>
      <c r="B290" s="5">
        <f>ROUND(A290*설정!$C$16/60,1)</f>
        <v>190.7</v>
      </c>
      <c r="C290" s="8">
        <v>70912</v>
      </c>
      <c r="D290" s="8">
        <v>80624</v>
      </c>
      <c r="E290" s="8">
        <v>97420</v>
      </c>
      <c r="F290" s="8">
        <v>173735</v>
      </c>
      <c r="G290" s="8">
        <v>526069</v>
      </c>
      <c r="H290" s="22">
        <f t="shared" si="4"/>
        <v>0</v>
      </c>
      <c r="I290" s="5">
        <v>85</v>
      </c>
      <c r="J290" s="5">
        <v>70</v>
      </c>
      <c r="K290" s="5">
        <v>51</v>
      </c>
      <c r="L290" s="5">
        <v>46</v>
      </c>
      <c r="M290" s="5">
        <v>39</v>
      </c>
      <c r="N290" s="15"/>
      <c r="O290" s="15"/>
      <c r="P290" s="15"/>
      <c r="Q290" s="15"/>
      <c r="R290" s="15"/>
    </row>
    <row r="291" spans="1:18">
      <c r="A291" s="5">
        <v>287</v>
      </c>
      <c r="B291" s="5">
        <f>ROUND(A291*설정!$C$16/60,1)</f>
        <v>191.3</v>
      </c>
      <c r="C291" s="8">
        <v>70912</v>
      </c>
      <c r="D291" s="8">
        <v>80624</v>
      </c>
      <c r="E291" s="8">
        <v>97420</v>
      </c>
      <c r="F291" s="8">
        <v>173735</v>
      </c>
      <c r="G291" s="8">
        <v>526069</v>
      </c>
      <c r="H291" s="22">
        <f t="shared" si="4"/>
        <v>0</v>
      </c>
      <c r="I291" s="5">
        <v>85</v>
      </c>
      <c r="J291" s="5">
        <v>70</v>
      </c>
      <c r="K291" s="5">
        <v>51</v>
      </c>
      <c r="L291" s="5">
        <v>46</v>
      </c>
      <c r="M291" s="5">
        <v>39</v>
      </c>
      <c r="N291" s="15"/>
      <c r="O291" s="15"/>
      <c r="P291" s="15"/>
      <c r="Q291" s="15"/>
      <c r="R291" s="15"/>
    </row>
    <row r="292" spans="1:18">
      <c r="A292" s="5">
        <v>288</v>
      </c>
      <c r="B292" s="5">
        <f>ROUND(A292*설정!$C$16/60,1)</f>
        <v>192</v>
      </c>
      <c r="C292" s="8">
        <v>70912</v>
      </c>
      <c r="D292" s="8">
        <v>80624</v>
      </c>
      <c r="E292" s="8">
        <v>97420</v>
      </c>
      <c r="F292" s="8">
        <v>173735</v>
      </c>
      <c r="G292" s="8">
        <v>526069</v>
      </c>
      <c r="H292" s="22">
        <f t="shared" si="4"/>
        <v>0</v>
      </c>
      <c r="I292" s="5">
        <v>85</v>
      </c>
      <c r="J292" s="5">
        <v>70</v>
      </c>
      <c r="K292" s="5">
        <v>51</v>
      </c>
      <c r="L292" s="5">
        <v>46</v>
      </c>
      <c r="M292" s="5">
        <v>39</v>
      </c>
      <c r="N292" s="15"/>
      <c r="O292" s="15"/>
      <c r="P292" s="15"/>
      <c r="Q292" s="15"/>
      <c r="R292" s="15"/>
    </row>
    <row r="293" spans="1:18">
      <c r="A293" s="5">
        <v>289</v>
      </c>
      <c r="B293" s="5">
        <f>ROUND(A293*설정!$C$16/60,1)</f>
        <v>192.7</v>
      </c>
      <c r="C293" s="8">
        <v>70912</v>
      </c>
      <c r="D293" s="8">
        <v>81418</v>
      </c>
      <c r="E293" s="8">
        <v>97420</v>
      </c>
      <c r="F293" s="8">
        <v>173735</v>
      </c>
      <c r="G293" s="8">
        <v>526069</v>
      </c>
      <c r="H293" s="22">
        <f t="shared" si="4"/>
        <v>0</v>
      </c>
      <c r="I293" s="5">
        <v>85</v>
      </c>
      <c r="J293" s="5">
        <v>70</v>
      </c>
      <c r="K293" s="5">
        <v>51</v>
      </c>
      <c r="L293" s="5">
        <v>46</v>
      </c>
      <c r="M293" s="5">
        <v>39</v>
      </c>
      <c r="N293" s="15"/>
      <c r="O293" s="15"/>
      <c r="P293" s="15"/>
      <c r="Q293" s="15"/>
      <c r="R293" s="15"/>
    </row>
    <row r="294" spans="1:18">
      <c r="A294" s="5">
        <v>290</v>
      </c>
      <c r="B294" s="5">
        <f>ROUND(A294*설정!$C$16/60,1)</f>
        <v>193.3</v>
      </c>
      <c r="C294" s="8">
        <v>70912</v>
      </c>
      <c r="D294" s="8">
        <v>81418</v>
      </c>
      <c r="E294" s="8">
        <v>97420</v>
      </c>
      <c r="F294" s="8">
        <v>173735</v>
      </c>
      <c r="G294" s="8">
        <v>526069</v>
      </c>
      <c r="H294" s="22">
        <f t="shared" si="4"/>
        <v>0</v>
      </c>
      <c r="I294" s="5">
        <v>86</v>
      </c>
      <c r="J294" s="5">
        <v>70</v>
      </c>
      <c r="K294" s="5">
        <v>51</v>
      </c>
      <c r="L294" s="5">
        <v>46</v>
      </c>
      <c r="M294" s="5">
        <v>39</v>
      </c>
      <c r="N294" s="15"/>
      <c r="O294" s="15"/>
      <c r="P294" s="15"/>
      <c r="Q294" s="15"/>
      <c r="R294" s="15"/>
    </row>
    <row r="295" spans="1:18">
      <c r="A295" s="5">
        <v>291</v>
      </c>
      <c r="B295" s="5">
        <f>ROUND(A295*설정!$C$16/60,1)</f>
        <v>194</v>
      </c>
      <c r="C295" s="8">
        <v>72259</v>
      </c>
      <c r="D295" s="8">
        <v>81669</v>
      </c>
      <c r="E295" s="8">
        <v>97420</v>
      </c>
      <c r="F295" s="8">
        <v>177034</v>
      </c>
      <c r="G295" s="8">
        <v>526069</v>
      </c>
      <c r="H295" s="22">
        <f t="shared" si="4"/>
        <v>0.0189953745487366</v>
      </c>
      <c r="I295" s="5">
        <v>86</v>
      </c>
      <c r="J295" s="5">
        <v>70</v>
      </c>
      <c r="K295" s="5">
        <v>51</v>
      </c>
      <c r="L295" s="5">
        <v>46</v>
      </c>
      <c r="M295" s="5">
        <v>39</v>
      </c>
      <c r="N295" s="15"/>
      <c r="O295" s="15"/>
      <c r="P295" s="15"/>
      <c r="Q295" s="15"/>
      <c r="R295" s="15"/>
    </row>
    <row r="296" spans="1:18">
      <c r="A296" s="5">
        <v>292</v>
      </c>
      <c r="B296" s="5">
        <f>ROUND(A296*설정!$C$16/60,1)</f>
        <v>194.7</v>
      </c>
      <c r="C296" s="8">
        <v>72259</v>
      </c>
      <c r="D296" s="8">
        <v>81669</v>
      </c>
      <c r="E296" s="8">
        <v>98702</v>
      </c>
      <c r="F296" s="8">
        <v>177034</v>
      </c>
      <c r="G296" s="8">
        <v>532991</v>
      </c>
      <c r="H296" s="22">
        <f t="shared" si="4"/>
        <v>0</v>
      </c>
      <c r="I296" s="5">
        <v>86</v>
      </c>
      <c r="J296" s="5">
        <v>70</v>
      </c>
      <c r="K296" s="5">
        <v>51</v>
      </c>
      <c r="L296" s="5">
        <v>46</v>
      </c>
      <c r="M296" s="5">
        <v>39</v>
      </c>
      <c r="N296" s="15"/>
      <c r="O296" s="15"/>
      <c r="P296" s="15"/>
      <c r="Q296" s="15"/>
      <c r="R296" s="15"/>
    </row>
    <row r="297" spans="1:18">
      <c r="A297" s="5">
        <v>293</v>
      </c>
      <c r="B297" s="5">
        <f>ROUND(A297*설정!$C$16/60,1)</f>
        <v>195.3</v>
      </c>
      <c r="C297" s="8">
        <v>72259</v>
      </c>
      <c r="D297" s="8">
        <v>81669</v>
      </c>
      <c r="E297" s="8">
        <v>98702</v>
      </c>
      <c r="F297" s="8">
        <v>177034</v>
      </c>
      <c r="G297" s="8">
        <v>532991</v>
      </c>
      <c r="H297" s="22">
        <f t="shared" si="4"/>
        <v>0</v>
      </c>
      <c r="I297" s="5">
        <v>86</v>
      </c>
      <c r="J297" s="5">
        <v>70</v>
      </c>
      <c r="K297" s="5">
        <v>51</v>
      </c>
      <c r="L297" s="5">
        <v>46</v>
      </c>
      <c r="M297" s="5">
        <v>39</v>
      </c>
      <c r="N297" s="15"/>
      <c r="O297" s="15"/>
      <c r="P297" s="15"/>
      <c r="Q297" s="15"/>
      <c r="R297" s="15"/>
    </row>
    <row r="298" spans="1:18">
      <c r="A298" s="5">
        <v>294</v>
      </c>
      <c r="B298" s="5">
        <f>ROUND(A298*설정!$C$16/60,1)</f>
        <v>196</v>
      </c>
      <c r="C298" s="8">
        <v>72259</v>
      </c>
      <c r="D298" s="8">
        <v>81669</v>
      </c>
      <c r="E298" s="8">
        <v>98702</v>
      </c>
      <c r="F298" s="8">
        <v>177034</v>
      </c>
      <c r="G298" s="8">
        <v>532991</v>
      </c>
      <c r="H298" s="22">
        <f t="shared" si="4"/>
        <v>0</v>
      </c>
      <c r="I298" s="5">
        <v>86</v>
      </c>
      <c r="J298" s="5">
        <v>70</v>
      </c>
      <c r="K298" s="5">
        <v>51</v>
      </c>
      <c r="L298" s="5">
        <v>46</v>
      </c>
      <c r="M298" s="5">
        <v>39</v>
      </c>
      <c r="N298" s="15"/>
      <c r="O298" s="15"/>
      <c r="P298" s="15"/>
      <c r="Q298" s="15"/>
      <c r="R298" s="15"/>
    </row>
    <row r="299" spans="1:18">
      <c r="A299" s="5">
        <v>295</v>
      </c>
      <c r="B299" s="5">
        <f>ROUND(A299*설정!$C$16/60,1)</f>
        <v>196.7</v>
      </c>
      <c r="C299" s="8">
        <v>72259</v>
      </c>
      <c r="D299" s="8">
        <v>81669</v>
      </c>
      <c r="E299" s="8">
        <v>98702</v>
      </c>
      <c r="F299" s="8">
        <v>177034</v>
      </c>
      <c r="G299" s="8">
        <v>532991</v>
      </c>
      <c r="H299" s="22">
        <f t="shared" si="4"/>
        <v>0</v>
      </c>
      <c r="I299" s="5">
        <v>86</v>
      </c>
      <c r="J299" s="5">
        <v>70</v>
      </c>
      <c r="K299" s="5">
        <v>51</v>
      </c>
      <c r="L299" s="5">
        <v>46</v>
      </c>
      <c r="M299" s="5">
        <v>39</v>
      </c>
      <c r="N299" s="15"/>
      <c r="O299" s="15"/>
      <c r="P299" s="15"/>
      <c r="Q299" s="15"/>
      <c r="R299" s="15"/>
    </row>
    <row r="300" spans="1:18">
      <c r="A300" s="5">
        <v>296</v>
      </c>
      <c r="B300" s="5">
        <f>ROUND(A300*설정!$C$16/60,1)</f>
        <v>197.3</v>
      </c>
      <c r="C300" s="8">
        <v>72259</v>
      </c>
      <c r="D300" s="8">
        <v>81669</v>
      </c>
      <c r="E300" s="8">
        <v>98702</v>
      </c>
      <c r="F300" s="8">
        <v>177034</v>
      </c>
      <c r="G300" s="8">
        <v>532991</v>
      </c>
      <c r="H300" s="22">
        <f t="shared" si="4"/>
        <v>0</v>
      </c>
      <c r="I300" s="5">
        <v>86</v>
      </c>
      <c r="J300" s="5">
        <v>70</v>
      </c>
      <c r="K300" s="5">
        <v>51</v>
      </c>
      <c r="L300" s="5">
        <v>47</v>
      </c>
      <c r="M300" s="5">
        <v>39</v>
      </c>
      <c r="N300" s="15"/>
      <c r="O300" s="15"/>
      <c r="P300" s="15"/>
      <c r="Q300" s="15"/>
      <c r="R300" s="15"/>
    </row>
    <row r="301" spans="1:18">
      <c r="A301" s="5">
        <v>297</v>
      </c>
      <c r="B301" s="5">
        <f>ROUND(A301*설정!$C$16/60,1)</f>
        <v>198</v>
      </c>
      <c r="C301" s="8">
        <v>73277</v>
      </c>
      <c r="D301" s="8">
        <v>82787</v>
      </c>
      <c r="E301" s="8">
        <v>99630</v>
      </c>
      <c r="F301" s="8">
        <v>179527</v>
      </c>
      <c r="G301" s="8">
        <v>538000</v>
      </c>
      <c r="H301" s="22">
        <f t="shared" si="4"/>
        <v>0.0140882104651323</v>
      </c>
      <c r="I301" s="5">
        <v>86</v>
      </c>
      <c r="J301" s="5">
        <v>70</v>
      </c>
      <c r="K301" s="5">
        <v>51</v>
      </c>
      <c r="L301" s="5">
        <v>47</v>
      </c>
      <c r="M301" s="5">
        <v>39</v>
      </c>
      <c r="N301" s="15"/>
      <c r="O301" s="15"/>
      <c r="P301" s="15"/>
      <c r="Q301" s="15"/>
      <c r="R301" s="15"/>
    </row>
    <row r="302" spans="1:18">
      <c r="A302" s="5">
        <v>298</v>
      </c>
      <c r="B302" s="5">
        <f>ROUND(A302*설정!$C$16/60,1)</f>
        <v>198.7</v>
      </c>
      <c r="C302" s="8">
        <v>73277</v>
      </c>
      <c r="D302" s="8">
        <v>82787</v>
      </c>
      <c r="E302" s="8">
        <v>99630</v>
      </c>
      <c r="F302" s="8">
        <v>179527</v>
      </c>
      <c r="G302" s="8">
        <v>538000</v>
      </c>
      <c r="H302" s="22">
        <f t="shared" si="4"/>
        <v>0</v>
      </c>
      <c r="I302" s="5">
        <v>86</v>
      </c>
      <c r="J302" s="5">
        <v>70</v>
      </c>
      <c r="K302" s="5">
        <v>51</v>
      </c>
      <c r="L302" s="5">
        <v>47</v>
      </c>
      <c r="M302" s="5">
        <v>39</v>
      </c>
      <c r="N302" s="15"/>
      <c r="O302" s="15"/>
      <c r="P302" s="15"/>
      <c r="Q302" s="15"/>
      <c r="R302" s="15"/>
    </row>
    <row r="303" spans="1:18">
      <c r="A303" s="5">
        <v>299</v>
      </c>
      <c r="B303" s="5">
        <f>ROUND(A303*설정!$C$16/60,1)</f>
        <v>199.3</v>
      </c>
      <c r="C303" s="8">
        <v>73277</v>
      </c>
      <c r="D303" s="8">
        <v>82787</v>
      </c>
      <c r="E303" s="8">
        <v>99630</v>
      </c>
      <c r="F303" s="8">
        <v>179527</v>
      </c>
      <c r="G303" s="8">
        <v>538000</v>
      </c>
      <c r="H303" s="22">
        <f t="shared" si="4"/>
        <v>0</v>
      </c>
      <c r="I303" s="5">
        <v>86</v>
      </c>
      <c r="J303" s="5">
        <v>70</v>
      </c>
      <c r="K303" s="5">
        <v>51</v>
      </c>
      <c r="L303" s="5">
        <v>47</v>
      </c>
      <c r="M303" s="5">
        <v>39</v>
      </c>
      <c r="N303" s="15"/>
      <c r="O303" s="15"/>
      <c r="P303" s="15"/>
      <c r="Q303" s="15"/>
      <c r="R303" s="15"/>
    </row>
    <row r="304" spans="1:18">
      <c r="A304" s="5">
        <v>300</v>
      </c>
      <c r="B304" s="5">
        <f>ROUND(A304*설정!$C$16/60,1)</f>
        <v>200</v>
      </c>
      <c r="C304" s="8">
        <v>73277</v>
      </c>
      <c r="D304" s="8">
        <v>82787</v>
      </c>
      <c r="E304" s="8">
        <v>99630</v>
      </c>
      <c r="F304" s="8">
        <v>179527</v>
      </c>
      <c r="G304" s="8">
        <v>538000</v>
      </c>
      <c r="H304" s="22">
        <f t="shared" si="4"/>
        <v>0</v>
      </c>
      <c r="I304" s="5">
        <v>86</v>
      </c>
      <c r="J304" s="5">
        <v>70</v>
      </c>
      <c r="K304" s="5">
        <v>51</v>
      </c>
      <c r="L304" s="5">
        <v>47</v>
      </c>
      <c r="M304" s="5">
        <v>39</v>
      </c>
      <c r="N304" s="15"/>
      <c r="O304" s="15"/>
      <c r="P304" s="15"/>
      <c r="Q304" s="15"/>
      <c r="R304" s="15"/>
    </row>
  </sheetData>
  <pageMargins left="0.75" right="0.75" top="1" bottom="1" header="0.511811023622047" footer="0.511811023622047"/>
  <pageSetup paperSize="9" orientation="portrait" horizontalDpi="300" verticalDpi="300"/>
  <headerFooter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D23"/>
  <sheetViews>
    <sheetView workbookViewId="0">
      <selection activeCell="A1" sqref="A1"/>
    </sheetView>
  </sheetViews>
  <sheetFormatPr defaultColWidth="8.67592592592593" defaultRowHeight="14.4" outlineLevelCol="3"/>
  <cols>
    <col min="1" max="1" width="30" customWidth="1"/>
    <col min="2" max="3" width="16" customWidth="1"/>
    <col min="4" max="4" width="50" customWidth="1"/>
  </cols>
  <sheetData>
    <row r="1" ht="17.4" spans="1:4">
      <c r="A1" s="1" t="s">
        <v>205</v>
      </c>
      <c r="B1" s="15"/>
      <c r="C1" s="15"/>
      <c r="D1" s="15"/>
    </row>
    <row r="2" spans="1:4">
      <c r="A2" s="15"/>
      <c r="B2" s="15"/>
      <c r="C2" s="15"/>
      <c r="D2" s="15"/>
    </row>
    <row r="3" spans="1:4">
      <c r="A3" s="3" t="s">
        <v>206</v>
      </c>
      <c r="B3" s="3" t="s">
        <v>31</v>
      </c>
      <c r="C3" s="3" t="s">
        <v>32</v>
      </c>
      <c r="D3" s="3" t="s">
        <v>207</v>
      </c>
    </row>
    <row r="4" spans="1:4">
      <c r="A4" s="7" t="s">
        <v>208</v>
      </c>
      <c r="B4" s="6">
        <v>10000</v>
      </c>
      <c r="C4" s="5" t="s">
        <v>209</v>
      </c>
      <c r="D4" s="5" t="s">
        <v>210</v>
      </c>
    </row>
    <row r="5" spans="1:4">
      <c r="A5" s="5" t="s">
        <v>211</v>
      </c>
      <c r="B5" s="6">
        <v>3</v>
      </c>
      <c r="C5" s="5" t="s">
        <v>212</v>
      </c>
      <c r="D5" s="5" t="s">
        <v>213</v>
      </c>
    </row>
    <row r="6" spans="1:4">
      <c r="A6" s="5" t="s">
        <v>214</v>
      </c>
      <c r="B6" s="6">
        <v>10</v>
      </c>
      <c r="C6" s="7" t="s">
        <v>215</v>
      </c>
      <c r="D6" s="5" t="s">
        <v>216</v>
      </c>
    </row>
    <row r="7" spans="1:4">
      <c r="A7" s="5" t="s">
        <v>217</v>
      </c>
      <c r="B7" s="6">
        <v>4</v>
      </c>
      <c r="C7" s="5" t="s">
        <v>212</v>
      </c>
      <c r="D7" s="7" t="s">
        <v>218</v>
      </c>
    </row>
    <row r="8" spans="1:4">
      <c r="A8" s="5" t="s">
        <v>219</v>
      </c>
      <c r="B8" s="6">
        <v>6</v>
      </c>
      <c r="C8" s="7" t="s">
        <v>215</v>
      </c>
      <c r="D8" s="5" t="s">
        <v>220</v>
      </c>
    </row>
    <row r="9" spans="1:4">
      <c r="A9" s="5" t="s">
        <v>221</v>
      </c>
      <c r="B9" s="16">
        <v>0.01</v>
      </c>
      <c r="C9" s="7" t="s">
        <v>222</v>
      </c>
      <c r="D9" s="5" t="s">
        <v>220</v>
      </c>
    </row>
    <row r="10" spans="1:4">
      <c r="A10" s="7" t="s">
        <v>223</v>
      </c>
      <c r="B10" s="16">
        <v>0.01</v>
      </c>
      <c r="C10" s="5" t="s">
        <v>224</v>
      </c>
      <c r="D10" s="5" t="s">
        <v>225</v>
      </c>
    </row>
    <row r="11" spans="1:4">
      <c r="A11" s="5" t="s">
        <v>226</v>
      </c>
      <c r="B11" s="6">
        <v>3</v>
      </c>
      <c r="C11" s="7" t="s">
        <v>215</v>
      </c>
      <c r="D11" s="5" t="s">
        <v>227</v>
      </c>
    </row>
    <row r="12" spans="1:4">
      <c r="A12" s="5" t="s">
        <v>228</v>
      </c>
      <c r="B12" s="16">
        <v>0.15</v>
      </c>
      <c r="C12" s="5"/>
      <c r="D12" s="7" t="s">
        <v>229</v>
      </c>
    </row>
    <row r="13" spans="1:4">
      <c r="A13" s="5" t="s">
        <v>230</v>
      </c>
      <c r="B13" s="6">
        <v>1380</v>
      </c>
      <c r="C13" s="7" t="s">
        <v>231</v>
      </c>
      <c r="D13" s="5" t="s">
        <v>232</v>
      </c>
    </row>
    <row r="14" spans="1:4">
      <c r="A14" s="15"/>
      <c r="B14" s="15"/>
      <c r="C14" s="15"/>
      <c r="D14" s="15"/>
    </row>
    <row r="15" spans="1:4">
      <c r="A15" s="3" t="s">
        <v>233</v>
      </c>
      <c r="B15" s="3" t="s">
        <v>234</v>
      </c>
      <c r="C15" s="3" t="s">
        <v>235</v>
      </c>
      <c r="D15" s="3" t="s">
        <v>236</v>
      </c>
    </row>
    <row r="16" spans="1:4">
      <c r="A16" s="5" t="s">
        <v>237</v>
      </c>
      <c r="B16" s="17">
        <f>B4*B5*B6/1000</f>
        <v>300</v>
      </c>
      <c r="C16" s="17">
        <f>B16*30</f>
        <v>9000</v>
      </c>
      <c r="D16" s="17">
        <f>C16*$B$13</f>
        <v>12420000</v>
      </c>
    </row>
    <row r="17" spans="1:4">
      <c r="A17" s="5" t="s">
        <v>238</v>
      </c>
      <c r="B17" s="17">
        <f>B4*(1-B9)*B7*B8/1000</f>
        <v>237.6</v>
      </c>
      <c r="C17" s="17">
        <f>B17*30</f>
        <v>7128</v>
      </c>
      <c r="D17" s="17">
        <f>C17*$B$13</f>
        <v>9836640</v>
      </c>
    </row>
    <row r="18" spans="1:4">
      <c r="A18" s="7" t="s">
        <v>239</v>
      </c>
      <c r="B18" s="17">
        <f>B4*B10*B11*(1-B12)</f>
        <v>255</v>
      </c>
      <c r="C18" s="17">
        <f>B18*30</f>
        <v>7650</v>
      </c>
      <c r="D18" s="17">
        <f>C18*$B$13</f>
        <v>10557000</v>
      </c>
    </row>
    <row r="19" spans="1:4">
      <c r="A19" s="12" t="s">
        <v>240</v>
      </c>
      <c r="B19" s="18">
        <f>SUM(B16:B18)</f>
        <v>792.6</v>
      </c>
      <c r="C19" s="18">
        <f>SUM(C16:C18)</f>
        <v>23778</v>
      </c>
      <c r="D19" s="18">
        <f>SUM(D16:D18)</f>
        <v>32813640</v>
      </c>
    </row>
    <row r="20" spans="1:4">
      <c r="A20" s="5" t="s">
        <v>241</v>
      </c>
      <c r="B20" s="19">
        <f>IF(B19&gt;0,(B16+B17)/B19,0)</f>
        <v>0.678274034822104</v>
      </c>
      <c r="C20" s="15"/>
      <c r="D20" s="15"/>
    </row>
    <row r="21" spans="1:4">
      <c r="A21" s="7" t="s">
        <v>242</v>
      </c>
      <c r="B21" s="20">
        <f>IF(B4&gt;0,B19/B4,0)</f>
        <v>0.07926</v>
      </c>
      <c r="C21" s="15"/>
      <c r="D21" s="15"/>
    </row>
    <row r="22" spans="1:4">
      <c r="A22" s="15"/>
      <c r="B22" s="15"/>
      <c r="C22" s="15"/>
      <c r="D22" s="15"/>
    </row>
    <row r="23" spans="1:4">
      <c r="A23" s="2" t="s">
        <v>243</v>
      </c>
      <c r="B23" s="15"/>
      <c r="C23" s="15"/>
      <c r="D23" s="15"/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25"/>
  <sheetViews>
    <sheetView workbookViewId="0">
      <selection activeCell="A1" sqref="A1"/>
    </sheetView>
  </sheetViews>
  <sheetFormatPr defaultColWidth="8.67592592592593" defaultRowHeight="14.4" outlineLevelCol="4"/>
  <cols>
    <col min="1" max="1" width="28" customWidth="1"/>
    <col min="2" max="2" width="14" customWidth="1"/>
    <col min="3" max="3" width="12" customWidth="1"/>
    <col min="4" max="4" width="22" customWidth="1"/>
    <col min="5" max="5" width="26" customWidth="1"/>
  </cols>
  <sheetData>
    <row r="1" ht="17.4" spans="1:5">
      <c r="A1" s="1" t="s">
        <v>244</v>
      </c>
    </row>
    <row r="3" spans="1:5">
      <c r="A3" s="3" t="s">
        <v>245</v>
      </c>
      <c r="B3" s="3" t="s">
        <v>246</v>
      </c>
      <c r="C3" s="4" t="s">
        <v>247</v>
      </c>
      <c r="D3" s="3" t="s">
        <v>248</v>
      </c>
      <c r="E3" s="3" t="s">
        <v>249</v>
      </c>
    </row>
    <row r="4" spans="1:5">
      <c r="A4" s="5" t="s">
        <v>250</v>
      </c>
      <c r="B4" s="6">
        <v>7</v>
      </c>
      <c r="C4" s="6">
        <v>30</v>
      </c>
      <c r="D4" s="5">
        <f>B4*C4</f>
        <v>210</v>
      </c>
      <c r="E4" s="5" t="s">
        <v>251</v>
      </c>
    </row>
    <row r="5" spans="1:5">
      <c r="A5" s="5" t="s">
        <v>252</v>
      </c>
      <c r="B5" s="6">
        <v>7</v>
      </c>
      <c r="C5" s="6">
        <v>20</v>
      </c>
      <c r="D5" s="5">
        <f>B5*C5</f>
        <v>140</v>
      </c>
      <c r="E5" s="5"/>
    </row>
    <row r="6" spans="1:5">
      <c r="A6" s="7" t="s">
        <v>253</v>
      </c>
      <c r="B6" s="6">
        <v>1</v>
      </c>
      <c r="C6" s="6">
        <v>100</v>
      </c>
      <c r="D6" s="5">
        <f>B6*C6</f>
        <v>100</v>
      </c>
      <c r="E6" s="7" t="s">
        <v>254</v>
      </c>
    </row>
    <row r="7" spans="1:5">
      <c r="A7" s="5" t="s">
        <v>255</v>
      </c>
      <c r="B7" s="6">
        <v>3</v>
      </c>
      <c r="C7" s="6">
        <v>20</v>
      </c>
      <c r="D7" s="5">
        <f>B7*C7</f>
        <v>60</v>
      </c>
      <c r="E7" s="5" t="s">
        <v>256</v>
      </c>
    </row>
    <row r="8" spans="1:5">
      <c r="A8" s="5" t="s">
        <v>257</v>
      </c>
      <c r="B8" s="6">
        <v>5</v>
      </c>
      <c r="C8" s="6">
        <v>5</v>
      </c>
      <c r="D8" s="5">
        <f>B8*C8</f>
        <v>25</v>
      </c>
      <c r="E8" s="5" t="s">
        <v>258</v>
      </c>
    </row>
    <row r="9" spans="1:5">
      <c r="A9" s="12" t="s">
        <v>259</v>
      </c>
      <c r="D9" s="12">
        <f>SUM(D4:D8)</f>
        <v>535</v>
      </c>
    </row>
    <row r="11" spans="1:5">
      <c r="A11" s="3" t="s">
        <v>260</v>
      </c>
      <c r="B11" s="3" t="s">
        <v>261</v>
      </c>
      <c r="C11" s="3"/>
      <c r="D11" s="3" t="s">
        <v>262</v>
      </c>
      <c r="E11" s="3" t="s">
        <v>249</v>
      </c>
    </row>
    <row r="12" spans="1:5">
      <c r="A12" s="5" t="s">
        <v>263</v>
      </c>
      <c r="B12" s="6">
        <v>100</v>
      </c>
      <c r="D12" s="5">
        <f>ROUND($D$9/B12,1)</f>
        <v>5.4</v>
      </c>
      <c r="E12" s="5" t="s">
        <v>264</v>
      </c>
    </row>
    <row r="13" spans="1:5">
      <c r="A13" s="5" t="s">
        <v>265</v>
      </c>
      <c r="B13" s="6">
        <v>300</v>
      </c>
      <c r="D13" s="5">
        <f>ROUND($D$9/B13,1)</f>
        <v>1.8</v>
      </c>
      <c r="E13" s="5"/>
    </row>
    <row r="14" spans="1:5">
      <c r="A14" s="5" t="s">
        <v>266</v>
      </c>
      <c r="B14" s="6">
        <v>20</v>
      </c>
      <c r="D14" s="5">
        <f>ROUND($D$9/B14,1)</f>
        <v>26.8</v>
      </c>
      <c r="E14" s="5"/>
    </row>
    <row r="15" spans="1:5">
      <c r="A15" s="5" t="s">
        <v>267</v>
      </c>
      <c r="B15" s="6">
        <v>150</v>
      </c>
      <c r="D15" s="5">
        <f>ROUND($D$9/B15,1)</f>
        <v>3.6</v>
      </c>
      <c r="E15" s="5"/>
    </row>
    <row r="17" ht="28.2" spans="1:5">
      <c r="A17" s="3" t="s">
        <v>268</v>
      </c>
      <c r="B17" s="3" t="s">
        <v>269</v>
      </c>
      <c r="C17" s="3" t="s">
        <v>270</v>
      </c>
      <c r="D17" s="3" t="s">
        <v>271</v>
      </c>
      <c r="E17" s="3" t="s">
        <v>272</v>
      </c>
    </row>
    <row r="18" spans="1:5">
      <c r="A18" s="5" t="s">
        <v>273</v>
      </c>
      <c r="B18" s="13">
        <v>1200</v>
      </c>
      <c r="C18" s="13">
        <v>100</v>
      </c>
      <c r="D18" s="9">
        <f t="shared" ref="D18:D23" si="0">ROUND(B18/C18*100,0)</f>
        <v>1200</v>
      </c>
      <c r="E18" s="14">
        <f t="shared" ref="E18:E23" si="1">C18/$D$9</f>
        <v>0.186915887850467</v>
      </c>
    </row>
    <row r="19" spans="1:5">
      <c r="A19" s="5" t="s">
        <v>274</v>
      </c>
      <c r="B19" s="13">
        <v>5900</v>
      </c>
      <c r="C19" s="13">
        <v>550</v>
      </c>
      <c r="D19" s="9">
        <f t="shared" si="0"/>
        <v>1073</v>
      </c>
      <c r="E19" s="14">
        <f t="shared" si="1"/>
        <v>1.02803738317757</v>
      </c>
    </row>
    <row r="20" spans="1:5">
      <c r="A20" s="5" t="s">
        <v>275</v>
      </c>
      <c r="B20" s="13">
        <v>29000</v>
      </c>
      <c r="C20" s="13">
        <v>3000</v>
      </c>
      <c r="D20" s="9">
        <f t="shared" si="0"/>
        <v>967</v>
      </c>
      <c r="E20" s="14">
        <f t="shared" si="1"/>
        <v>5.60747663551402</v>
      </c>
    </row>
    <row r="21" spans="1:5">
      <c r="A21" s="5" t="s">
        <v>276</v>
      </c>
      <c r="B21" s="13">
        <v>5900</v>
      </c>
      <c r="C21" s="13">
        <v>300</v>
      </c>
      <c r="D21" s="9">
        <f t="shared" si="0"/>
        <v>1967</v>
      </c>
      <c r="E21" s="14">
        <f t="shared" si="1"/>
        <v>0.560747663551402</v>
      </c>
    </row>
    <row r="22" spans="1:5">
      <c r="A22" s="5" t="s">
        <v>277</v>
      </c>
      <c r="B22" s="13">
        <v>2500</v>
      </c>
      <c r="C22" s="13">
        <v>500</v>
      </c>
      <c r="D22" s="9">
        <f t="shared" si="0"/>
        <v>500</v>
      </c>
      <c r="E22" s="14">
        <f t="shared" si="1"/>
        <v>0.934579439252336</v>
      </c>
    </row>
    <row r="23" spans="1:5">
      <c r="A23" s="5" t="s">
        <v>278</v>
      </c>
      <c r="B23" s="13">
        <v>4400</v>
      </c>
      <c r="C23" s="13">
        <v>1500</v>
      </c>
      <c r="D23" s="9">
        <f t="shared" si="0"/>
        <v>293</v>
      </c>
      <c r="E23" s="14">
        <f t="shared" si="1"/>
        <v>2.80373831775701</v>
      </c>
    </row>
    <row r="25" spans="1:5">
      <c r="A25" s="2" t="s">
        <v>279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19"/>
  <sheetViews>
    <sheetView workbookViewId="0">
      <selection activeCell="A1" sqref="A1"/>
    </sheetView>
  </sheetViews>
  <sheetFormatPr defaultColWidth="8.67592592592593" defaultRowHeight="14.4" outlineLevelCol="7"/>
  <cols>
    <col min="1" max="1" width="22" customWidth="1"/>
    <col min="2" max="2" width="18" customWidth="1"/>
    <col min="3" max="4" width="10" customWidth="1"/>
    <col min="5" max="6" width="14" customWidth="1"/>
    <col min="7" max="7" width="12" customWidth="1"/>
    <col min="8" max="8" width="20" customWidth="1"/>
  </cols>
  <sheetData>
    <row r="1" ht="17.4" spans="1:8">
      <c r="A1" s="1" t="s">
        <v>280</v>
      </c>
    </row>
    <row r="2" spans="1:8">
      <c r="A2" s="2" t="s">
        <v>281</v>
      </c>
    </row>
    <row r="4" ht="28.2" spans="1:8">
      <c r="A4" s="3" t="s">
        <v>282</v>
      </c>
      <c r="B4" s="3" t="s">
        <v>31</v>
      </c>
      <c r="C4" s="4" t="s">
        <v>3</v>
      </c>
    </row>
    <row r="5" spans="1:8">
      <c r="A5" s="5" t="s">
        <v>283</v>
      </c>
      <c r="B5" s="6">
        <v>0.2</v>
      </c>
      <c r="C5" s="7" t="s">
        <v>284</v>
      </c>
    </row>
    <row r="6" spans="1:8">
      <c r="A6" s="5" t="s">
        <v>285</v>
      </c>
      <c r="B6" s="6">
        <v>0.15</v>
      </c>
      <c r="C6" s="7" t="s">
        <v>286</v>
      </c>
    </row>
    <row r="7" spans="1:8">
      <c r="A7" s="5" t="s">
        <v>287</v>
      </c>
      <c r="B7" s="6">
        <v>0.1</v>
      </c>
      <c r="C7" s="7" t="s">
        <v>288</v>
      </c>
    </row>
    <row r="8" spans="1:8">
      <c r="A8" s="5" t="s">
        <v>289</v>
      </c>
      <c r="B8" s="6">
        <v>8</v>
      </c>
      <c r="C8" s="7" t="s">
        <v>290</v>
      </c>
    </row>
    <row r="9" spans="1:8">
      <c r="A9" s="5" t="s">
        <v>291</v>
      </c>
      <c r="B9" s="6">
        <v>2</v>
      </c>
      <c r="C9" s="7" t="s">
        <v>292</v>
      </c>
    </row>
    <row r="11" ht="28.8" spans="1:8">
      <c r="A11" s="3" t="s">
        <v>293</v>
      </c>
      <c r="B11" s="3" t="s">
        <v>294</v>
      </c>
      <c r="C11" s="3" t="s">
        <v>295</v>
      </c>
      <c r="D11" s="3" t="s">
        <v>296</v>
      </c>
      <c r="E11" s="3" t="s">
        <v>297</v>
      </c>
      <c r="F11" s="4" t="s">
        <v>298</v>
      </c>
      <c r="G11" s="3" t="s">
        <v>299</v>
      </c>
      <c r="H11" s="3" t="s">
        <v>300</v>
      </c>
    </row>
    <row r="12" spans="1:8">
      <c r="A12" s="5" t="s">
        <v>301</v>
      </c>
      <c r="B12" s="8">
        <v>346</v>
      </c>
      <c r="C12" s="6">
        <v>1</v>
      </c>
      <c r="D12" s="6">
        <v>0</v>
      </c>
      <c r="E12" s="9">
        <f>B12*$B$5*(1+$B$6*C12)*(1+$B$7*D12)</f>
        <v>79.58</v>
      </c>
      <c r="F12" s="9">
        <f>E12*$B$8</f>
        <v>636.64</v>
      </c>
      <c r="G12" s="10">
        <f>IF(B12&gt;0,F12/B12,0)</f>
        <v>1.84</v>
      </c>
      <c r="H12" s="10">
        <f>G12*$B$9</f>
        <v>3.68</v>
      </c>
    </row>
    <row r="13" spans="1:8">
      <c r="A13" s="5" t="s">
        <v>302</v>
      </c>
      <c r="B13" s="8">
        <v>1919</v>
      </c>
      <c r="C13" s="6">
        <v>2</v>
      </c>
      <c r="D13" s="6">
        <v>2</v>
      </c>
      <c r="E13" s="9">
        <f>B13*$B$5*(1+$B$6*C13)*(1+$B$7*D13)</f>
        <v>598.728</v>
      </c>
      <c r="F13" s="9">
        <f>E13*$B$8</f>
        <v>4789.824</v>
      </c>
      <c r="G13" s="10">
        <f>IF(B13&gt;0,F13/B13,0)</f>
        <v>2.496</v>
      </c>
      <c r="H13" s="10">
        <f>G13*$B$9</f>
        <v>4.992</v>
      </c>
    </row>
    <row r="14" spans="1:8">
      <c r="A14" s="5" t="s">
        <v>303</v>
      </c>
      <c r="B14" s="8">
        <v>7903</v>
      </c>
      <c r="C14" s="6">
        <v>3</v>
      </c>
      <c r="D14" s="6">
        <v>4</v>
      </c>
      <c r="E14" s="9">
        <f>B14*$B$5*(1+$B$6*C14)*(1+$B$7*D14)</f>
        <v>3208.618</v>
      </c>
      <c r="F14" s="9">
        <f>E14*$B$8</f>
        <v>25668.944</v>
      </c>
      <c r="G14" s="10">
        <f>IF(B14&gt;0,F14/B14,0)</f>
        <v>3.248</v>
      </c>
      <c r="H14" s="10">
        <f>G14*$B$9</f>
        <v>6.496</v>
      </c>
    </row>
    <row r="15" spans="1:8">
      <c r="A15" s="5" t="s">
        <v>304</v>
      </c>
      <c r="B15" s="8">
        <v>24394</v>
      </c>
      <c r="C15" s="6">
        <v>4</v>
      </c>
      <c r="D15" s="6">
        <v>6</v>
      </c>
      <c r="E15" s="9">
        <f>B15*$B$5*(1+$B$6*C15)*(1+$B$7*D15)</f>
        <v>12489.728</v>
      </c>
      <c r="F15" s="9">
        <f>E15*$B$8</f>
        <v>99917.824</v>
      </c>
      <c r="G15" s="10">
        <f>IF(B15&gt;0,F15/B15,0)</f>
        <v>4.096</v>
      </c>
      <c r="H15" s="10">
        <f>G15*$B$9</f>
        <v>8.192</v>
      </c>
    </row>
    <row r="16" spans="1:8">
      <c r="A16" s="5" t="s">
        <v>305</v>
      </c>
      <c r="B16" s="8">
        <v>84051</v>
      </c>
      <c r="C16" s="6">
        <v>5</v>
      </c>
      <c r="D16" s="6">
        <v>8</v>
      </c>
      <c r="E16" s="9">
        <f>B16*$B$5*(1+$B$6*C16)*(1+$B$7*D16)</f>
        <v>52952.13</v>
      </c>
      <c r="F16" s="9">
        <f>E16*$B$8</f>
        <v>423617.04</v>
      </c>
      <c r="G16" s="10">
        <f>IF(B16&gt;0,F16/B16,0)</f>
        <v>5.04</v>
      </c>
      <c r="H16" s="10">
        <f>G16*$B$9</f>
        <v>10.08</v>
      </c>
    </row>
    <row r="18" spans="1:1">
      <c r="A18" s="2" t="s">
        <v>306</v>
      </c>
    </row>
    <row r="19" spans="1:1">
      <c r="A19" s="11" t="s">
        <v>307</v>
      </c>
    </row>
  </sheetData>
  <pageMargins left="0.75" right="0.75" top="1" bottom="1" header="0.511811023622047" footer="0.511811023622047"/>
  <pageSetup paperSize="9" orientation="portrait" horizontalDpi="300" verticalDpi="300"/>
  <headerFooter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H39"/>
  <sheetViews>
    <sheetView tabSelected="1" workbookViewId="0">
      <selection activeCell="A1" sqref="A1"/>
    </sheetView>
  </sheetViews>
  <sheetFormatPr defaultColWidth="8.88888888888889" defaultRowHeight="14.4" outlineLevelCol="7"/>
  <sheetData>
    <row r="1" spans="1:8">
      <c r="A1" t="s">
        <v>308</v>
      </c>
    </row>
    <row r="2" spans="1:8">
      <c r="A2" t="s">
        <v>309</v>
      </c>
    </row>
    <row r="4" spans="1:8">
      <c r="A4" t="s">
        <v>310</v>
      </c>
      <c r="B4" t="s">
        <v>311</v>
      </c>
      <c r="C4" t="s">
        <v>312</v>
      </c>
      <c r="D4" t="s">
        <v>313</v>
      </c>
      <c r="E4" t="s">
        <v>314</v>
      </c>
      <c r="F4" t="s">
        <v>315</v>
      </c>
      <c r="G4" t="s">
        <v>316</v>
      </c>
      <c r="H4" t="s">
        <v>317</v>
      </c>
    </row>
    <row r="5" spans="1:8">
      <c r="A5">
        <v>1</v>
      </c>
      <c r="B5">
        <v>1</v>
      </c>
      <c r="C5">
        <v>25</v>
      </c>
      <c r="E5">
        <v>4</v>
      </c>
      <c r="F5">
        <v>4</v>
      </c>
      <c r="G5">
        <v>3</v>
      </c>
      <c r="H5">
        <v>3</v>
      </c>
    </row>
    <row r="6" spans="1:8">
      <c r="A6">
        <v>1</v>
      </c>
      <c r="B6">
        <v>2</v>
      </c>
      <c r="C6">
        <v>80</v>
      </c>
      <c r="E6">
        <v>6</v>
      </c>
      <c r="F6">
        <v>2</v>
      </c>
      <c r="G6">
        <v>5</v>
      </c>
      <c r="H6">
        <v>2</v>
      </c>
    </row>
    <row r="7" spans="1:8">
      <c r="A7">
        <v>1</v>
      </c>
      <c r="B7">
        <v>3</v>
      </c>
      <c r="C7">
        <v>150</v>
      </c>
      <c r="E7">
        <v>8</v>
      </c>
      <c r="F7">
        <v>2</v>
      </c>
      <c r="G7">
        <v>6</v>
      </c>
      <c r="H7">
        <v>1</v>
      </c>
    </row>
    <row r="8" spans="1:8">
      <c r="A8">
        <v>1</v>
      </c>
      <c r="B8">
        <v>4</v>
      </c>
      <c r="C8">
        <v>280</v>
      </c>
      <c r="E8">
        <v>10</v>
      </c>
      <c r="F8">
        <v>2</v>
      </c>
      <c r="G8">
        <v>7</v>
      </c>
      <c r="H8">
        <v>1</v>
      </c>
    </row>
    <row r="9" spans="1:8">
      <c r="A9">
        <v>1</v>
      </c>
      <c r="B9">
        <v>5</v>
      </c>
      <c r="C9">
        <v>500</v>
      </c>
      <c r="D9" t="s">
        <v>313</v>
      </c>
      <c r="E9">
        <v>13</v>
      </c>
      <c r="F9">
        <v>3</v>
      </c>
      <c r="G9">
        <v>9</v>
      </c>
      <c r="H9">
        <v>2</v>
      </c>
    </row>
    <row r="10" spans="1:8">
      <c r="A10">
        <v>2</v>
      </c>
      <c r="B10">
        <v>1</v>
      </c>
      <c r="C10">
        <v>650</v>
      </c>
      <c r="E10">
        <v>14</v>
      </c>
      <c r="F10">
        <v>1</v>
      </c>
      <c r="G10">
        <v>9</v>
      </c>
      <c r="H10">
        <v>0</v>
      </c>
    </row>
    <row r="11" spans="1:8">
      <c r="A11">
        <v>2</v>
      </c>
      <c r="B11">
        <v>2</v>
      </c>
      <c r="C11">
        <v>850</v>
      </c>
      <c r="E11">
        <v>15</v>
      </c>
      <c r="F11">
        <v>1</v>
      </c>
      <c r="G11">
        <v>10</v>
      </c>
      <c r="H11">
        <v>1</v>
      </c>
    </row>
    <row r="12" spans="1:8">
      <c r="A12">
        <v>2</v>
      </c>
      <c r="B12">
        <v>3</v>
      </c>
      <c r="C12">
        <v>1100</v>
      </c>
      <c r="E12">
        <v>17</v>
      </c>
      <c r="F12">
        <v>2</v>
      </c>
      <c r="G12">
        <v>11</v>
      </c>
      <c r="H12">
        <v>1</v>
      </c>
    </row>
    <row r="13" spans="1:8">
      <c r="A13">
        <v>2</v>
      </c>
      <c r="B13">
        <v>4</v>
      </c>
      <c r="C13">
        <v>1500</v>
      </c>
      <c r="E13">
        <v>18</v>
      </c>
      <c r="F13">
        <v>1</v>
      </c>
      <c r="G13">
        <v>12</v>
      </c>
      <c r="H13">
        <v>1</v>
      </c>
    </row>
    <row r="14" spans="1:8">
      <c r="A14">
        <v>2</v>
      </c>
      <c r="B14">
        <v>5</v>
      </c>
      <c r="C14">
        <v>2000</v>
      </c>
      <c r="D14" t="s">
        <v>313</v>
      </c>
      <c r="E14">
        <v>20</v>
      </c>
      <c r="F14">
        <v>2</v>
      </c>
      <c r="G14">
        <v>13</v>
      </c>
      <c r="H14">
        <v>1</v>
      </c>
    </row>
    <row r="15" spans="1:8">
      <c r="A15">
        <v>3</v>
      </c>
      <c r="B15">
        <v>1</v>
      </c>
      <c r="C15">
        <v>2500</v>
      </c>
      <c r="E15">
        <v>22</v>
      </c>
      <c r="F15">
        <v>2</v>
      </c>
      <c r="G15">
        <v>13</v>
      </c>
      <c r="H15">
        <v>0</v>
      </c>
    </row>
    <row r="16" spans="1:8">
      <c r="A16">
        <v>3</v>
      </c>
      <c r="B16">
        <v>2</v>
      </c>
      <c r="C16">
        <v>3100</v>
      </c>
      <c r="E16">
        <v>23</v>
      </c>
      <c r="F16">
        <v>1</v>
      </c>
      <c r="G16">
        <v>14</v>
      </c>
      <c r="H16">
        <v>1</v>
      </c>
    </row>
    <row r="17" spans="1:8">
      <c r="A17">
        <v>3</v>
      </c>
      <c r="B17">
        <v>3</v>
      </c>
      <c r="C17">
        <v>3800</v>
      </c>
      <c r="E17">
        <v>24</v>
      </c>
      <c r="F17">
        <v>1</v>
      </c>
      <c r="G17">
        <v>15</v>
      </c>
      <c r="H17">
        <v>1</v>
      </c>
    </row>
    <row r="18" spans="1:8">
      <c r="A18">
        <v>3</v>
      </c>
      <c r="B18">
        <v>4</v>
      </c>
      <c r="C18">
        <v>4800</v>
      </c>
      <c r="E18">
        <v>27</v>
      </c>
      <c r="F18">
        <v>3</v>
      </c>
      <c r="G18">
        <v>16</v>
      </c>
      <c r="H18">
        <v>1</v>
      </c>
    </row>
    <row r="19" spans="1:8">
      <c r="A19">
        <v>3</v>
      </c>
      <c r="B19">
        <v>5</v>
      </c>
      <c r="C19">
        <v>6000</v>
      </c>
      <c r="D19" t="s">
        <v>313</v>
      </c>
      <c r="E19">
        <v>29</v>
      </c>
      <c r="F19">
        <v>2</v>
      </c>
      <c r="G19">
        <v>17</v>
      </c>
      <c r="H19">
        <v>1</v>
      </c>
    </row>
    <row r="20" spans="1:8">
      <c r="A20">
        <v>4</v>
      </c>
      <c r="B20">
        <v>1</v>
      </c>
      <c r="C20">
        <v>7200</v>
      </c>
      <c r="E20">
        <v>31</v>
      </c>
      <c r="F20">
        <v>2</v>
      </c>
      <c r="G20">
        <v>18</v>
      </c>
      <c r="H20">
        <v>1</v>
      </c>
    </row>
    <row r="21" spans="1:8">
      <c r="A21">
        <v>4</v>
      </c>
      <c r="B21">
        <v>2</v>
      </c>
      <c r="C21">
        <v>8600</v>
      </c>
      <c r="E21">
        <v>33</v>
      </c>
      <c r="F21">
        <v>2</v>
      </c>
      <c r="G21">
        <v>20</v>
      </c>
      <c r="H21">
        <v>2</v>
      </c>
    </row>
    <row r="22" spans="1:8">
      <c r="A22">
        <v>4</v>
      </c>
      <c r="B22">
        <v>3</v>
      </c>
      <c r="C22">
        <v>10300</v>
      </c>
      <c r="E22">
        <v>37</v>
      </c>
      <c r="F22">
        <v>4</v>
      </c>
      <c r="G22">
        <v>21</v>
      </c>
      <c r="H22">
        <v>1</v>
      </c>
    </row>
    <row r="23" spans="1:8">
      <c r="A23">
        <v>4</v>
      </c>
      <c r="B23">
        <v>4</v>
      </c>
      <c r="C23">
        <v>12500</v>
      </c>
      <c r="E23">
        <v>40</v>
      </c>
      <c r="F23">
        <v>3</v>
      </c>
      <c r="G23">
        <v>23</v>
      </c>
      <c r="H23">
        <v>2</v>
      </c>
    </row>
    <row r="24" spans="1:8">
      <c r="A24">
        <v>4</v>
      </c>
      <c r="B24">
        <v>5</v>
      </c>
      <c r="C24">
        <v>15000</v>
      </c>
      <c r="D24" t="s">
        <v>313</v>
      </c>
      <c r="E24">
        <v>45</v>
      </c>
      <c r="F24">
        <v>5</v>
      </c>
      <c r="G24">
        <v>26</v>
      </c>
      <c r="H24">
        <v>3</v>
      </c>
    </row>
    <row r="25" spans="1:8">
      <c r="A25">
        <v>5</v>
      </c>
      <c r="B25">
        <v>1</v>
      </c>
      <c r="C25">
        <v>18000</v>
      </c>
      <c r="E25">
        <v>52</v>
      </c>
      <c r="F25">
        <v>7</v>
      </c>
      <c r="G25">
        <v>29</v>
      </c>
      <c r="H25">
        <v>3</v>
      </c>
    </row>
    <row r="26" spans="1:8">
      <c r="A26">
        <v>5</v>
      </c>
      <c r="B26">
        <v>2</v>
      </c>
      <c r="C26">
        <v>22000</v>
      </c>
      <c r="E26">
        <v>59</v>
      </c>
      <c r="F26">
        <v>7</v>
      </c>
      <c r="G26">
        <v>33</v>
      </c>
      <c r="H26">
        <v>4</v>
      </c>
    </row>
    <row r="27" spans="1:8">
      <c r="A27">
        <v>5</v>
      </c>
      <c r="B27">
        <v>3</v>
      </c>
      <c r="C27">
        <v>27000</v>
      </c>
      <c r="E27">
        <v>74</v>
      </c>
      <c r="F27">
        <v>15</v>
      </c>
      <c r="G27">
        <v>40</v>
      </c>
      <c r="H27">
        <v>7</v>
      </c>
    </row>
    <row r="28" spans="1:8">
      <c r="A28">
        <v>5</v>
      </c>
      <c r="B28">
        <v>4</v>
      </c>
      <c r="C28">
        <v>33000</v>
      </c>
      <c r="E28">
        <v>90</v>
      </c>
      <c r="F28">
        <v>16</v>
      </c>
      <c r="G28">
        <v>48</v>
      </c>
      <c r="H28">
        <v>8</v>
      </c>
    </row>
    <row r="29" spans="1:8">
      <c r="A29">
        <v>5</v>
      </c>
      <c r="B29">
        <v>5</v>
      </c>
      <c r="C29">
        <v>40000</v>
      </c>
      <c r="D29" t="s">
        <v>313</v>
      </c>
      <c r="E29">
        <v>113</v>
      </c>
      <c r="F29">
        <v>23</v>
      </c>
      <c r="G29">
        <v>60</v>
      </c>
      <c r="H29">
        <v>12</v>
      </c>
    </row>
    <row r="32" spans="1:8">
      <c r="A32" t="s">
        <v>318</v>
      </c>
      <c r="B32" t="s">
        <v>319</v>
      </c>
      <c r="C32">
        <v>1.3</v>
      </c>
      <c r="D32" t="s">
        <v>320</v>
      </c>
    </row>
    <row r="34" spans="1:4">
      <c r="A34" t="s">
        <v>321</v>
      </c>
      <c r="B34" t="s">
        <v>322</v>
      </c>
      <c r="C34" t="s">
        <v>323</v>
      </c>
      <c r="D34" t="s">
        <v>324</v>
      </c>
    </row>
    <row r="35" spans="1:4">
      <c r="A35">
        <v>2</v>
      </c>
      <c r="B35" t="s">
        <v>325</v>
      </c>
      <c r="C35">
        <v>8</v>
      </c>
    </row>
    <row r="36" spans="1:4">
      <c r="A36">
        <v>3</v>
      </c>
      <c r="B36" t="s">
        <v>325</v>
      </c>
      <c r="C36">
        <v>20</v>
      </c>
    </row>
    <row r="37" spans="1:4">
      <c r="A37">
        <v>4</v>
      </c>
      <c r="B37" t="s">
        <v>325</v>
      </c>
      <c r="C37">
        <v>32</v>
      </c>
    </row>
    <row r="38" spans="1:4">
      <c r="A38">
        <v>5</v>
      </c>
      <c r="B38" t="s">
        <v>325</v>
      </c>
      <c r="C38">
        <v>45</v>
      </c>
    </row>
    <row r="39" spans="1:4">
      <c r="A39">
        <v>6</v>
      </c>
      <c r="B39" t="s">
        <v>325</v>
      </c>
      <c r="C39">
        <v>60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LibreOffice/24.2.7.2$Linux_X86_64 LibreOffice_project/420$Build-2</Application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설정</vt:lpstr>
      <vt:lpstr>업그레이드표</vt:lpstr>
      <vt:lpstr>진행 시뮬</vt:lpstr>
      <vt:lpstr>수익 추정</vt:lpstr>
      <vt:lpstr>별사탕 경제</vt:lpstr>
      <vt:lpstr>햄스터 마을</vt:lpstr>
      <vt:lpstr>스테이지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koiew</cp:lastModifiedBy>
  <cp:revision>1</cp:revision>
  <dcterms:created xsi:type="dcterms:W3CDTF">2026-09-26T00:16:00Z</dcterms:created>
  <dcterms:modified xsi:type="dcterms:W3CDTF">2026-09-28T08:32:42Z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03544CCC464E406E91B90F2C49B08E0C_12</vt:lpwstr>
  </property>
  <property fmtid="{D5CDD505-2E9C-101B-9397-08002B2CF9AE}" pid="3" name="KSOProductBuildVer">
    <vt:lpwstr>1042-12.1.0.28485</vt:lpwstr>
  </property>
  <property fmtid="{D5CDD505-2E9C-101B-9397-08002B2CF9AE}" pid="4" name="CalculationRule">
    <vt:i4>0</vt:i4>
  </property>
</Properties>
</file>
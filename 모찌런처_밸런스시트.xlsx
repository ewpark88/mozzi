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7" activeTab="7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  <sheet name="오브젝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<sst xmlns="http://schemas.openxmlformats.org/spreadsheetml/2006/main" count="571" uniqueCount="475">
  <si>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</si>
  <si>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</si>
  <si>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</si>
  <si>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</si>
  <si>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</si>
  <si>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</si>
  <si>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</si>
  <si>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</si>
  <si>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</si>
  <si>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</si>
  <si>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</si>
  <si>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</si>
  <si>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</si>
  <si>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</si>
  <si>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</si>
  <si>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</si>
  <si>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</si>
  <si>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</si>
  <si>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</si>
  <si>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</si>
  <si>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</si>
  <si>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</si>
  <si>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</si>
  <si>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</si>
  <si>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</si>
  <si>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</si>
  <si>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</si>
  <si>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</si>
  <si>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</si>
  <si>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</si>
  <si>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</si>
  <si>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</si>
  <si>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</si>
  <si>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</si>
  <si>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</si>
  <si>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</si>
  <si>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</si>
  <si>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</si>
  <si>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</si>
  <si>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</si>
  <si>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</si>
  <si>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</si>
  <si>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</si>
  <si>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</si>
  <si>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</si>
  <si>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</si>
  <si>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</si>
  <si>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</si>
  <si>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</si>
  <si>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</si>
  <si>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</si>
  <si>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</si>
  <si>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</si>
  <si>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</si>
  <si>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</si>
  <si>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</si>
  <si>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</si>
  <si>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</si>
  <si>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</si>
  <si>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</si>
  <si>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</si>
  <si>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</si>
  <si>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</si>
  <si>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</si>
  <si>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</si>
  <si>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</si>
  <si>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</si>
  <si>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</si>
  <si>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</si>
  <si>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</si>
  <si>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</si>
  <si>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t>체감 설정 (2.5D 샘플 HTML 기준)</t>
  </si>
  <si>
    <t>샘플 발사 속도(100%)</t>
  </si>
  <si>
    <t>feel_ref_v_px</t>
  </si>
  <si>
    <t>px/s</t>
  </si>
  <si>
    <t>모찌 런처 2.5D.html V100. Lv0 화면 움직임을 샘플과 같게 맞추는 기준</t>
  </si>
  <si>
    <t>샘플 중력</t>
  </si>
  <si>
    <t>feel_ref_g_px</t>
  </si>
  <si>
    <t>px/s²</t>
  </si>
  <si>
    <t>모찌 런처 2.5D.html GRAV</t>
  </si>
  <si>
    <t>시뮬 시간 배율</t>
  </si>
  <si>
    <t>sim_time_scale</t>
  </si>
  <si>
    <t>배</t>
  </si>
  <si>
    <t>계산식: 샘플g×v0 / (샘플v×g). 시뮬은 미터·실제 중력으로 계산하고(거리=공식 d), 이 배율로 빨리 재생해 샘플과 같은 체감 (ADR-012)</t>
  </si>
  <si>
    <t>카메라 기본 배율</t>
  </si>
  <si>
    <t>cam_base_px_per_m</t>
  </si>
  <si>
    <t>px/m</t>
  </si>
  <si>
    <t>계산식: 샘플v / (v0×시간배율). 가상 화면 높이 540 기준 Lv0 줌. 속도·고도에 따라 줌아웃</t>
  </si>
  <si>
    <t>샘플 모찌 반지름</t>
  </si>
  <si>
    <t>mochi_radius_px</t>
  </si>
  <si>
    <t>가상 px</t>
  </si>
  <si>
    <t>2.5D 샘플 RAD. 충돌 반지름(m) = 이 값 / cam_base_px_per_m</t>
  </si>
  <si>
    <t>정확도 게이지·당기기 (GDD §2)</t>
  </si>
  <si>
    <t>최대 힘</t>
  </si>
  <si>
    <t>gauge_max_power</t>
  </si>
  <si>
    <t>힘 0~110%</t>
  </si>
  <si>
    <t>바늘 기본 속도</t>
  </si>
  <si>
    <t>gauge_speed_base</t>
  </si>
  <si>
    <t>트랙/초</t>
  </si>
  <si>
    <t>p≤1: 0.45 + 1.35p</t>
  </si>
  <si>
    <t>바늘 속도 계수</t>
  </si>
  <si>
    <t>gauge_speed_k</t>
  </si>
  <si>
    <t>p≤1 기울기</t>
  </si>
  <si>
    <t>과충전 가속</t>
  </si>
  <si>
    <t>gauge_over_k</t>
  </si>
  <si>
    <t>p&gt;1: 1.8 × (1 + 9(p−1))</t>
  </si>
  <si>
    <t>PERFECT 폭</t>
  </si>
  <si>
    <t>gauge_zone_width</t>
  </si>
  <si>
    <t>off</t>
  </si>
  <si>
    <t>가운데에서 벗어난 정도 off ≤ 0.1 (트랙 0.45~0.55)</t>
  </si>
  <si>
    <t>GREAT 경계</t>
  </si>
  <si>
    <t>gauge_great_off</t>
  </si>
  <si>
    <t>off ≤ 0.3 (트랙 0.35~0.65)</t>
  </si>
  <si>
    <t>GOOD 경계</t>
  </si>
  <si>
    <t>gauge_good_off</t>
  </si>
  <si>
    <t>off ≤ 0.6 (트랙 0.20~0.80), 나머지 아쉬워요</t>
  </si>
  <si>
    <t>PERFECT 배율</t>
  </si>
  <si>
    <t>gauge_perfect_mult</t>
  </si>
  <si>
    <t>GREAT 최소 배율</t>
  </si>
  <si>
    <t>gauge_great_mult_min</t>
  </si>
  <si>
    <t>구간 바깥 경계 값. 안쪽 경계로 갈수록 최대까지 선형 보간</t>
  </si>
  <si>
    <t>GREAT 최대 배율</t>
  </si>
  <si>
    <t>gauge_great_mult_max</t>
  </si>
  <si>
    <t>GDD 표 ×1.03~1.13 (ADR-013, 샘플은 1.097 까지만)</t>
  </si>
  <si>
    <t>GOOD 최소 배율</t>
  </si>
  <si>
    <t>gauge_good_mult_min</t>
  </si>
  <si>
    <t>GOOD 최대 배율</t>
  </si>
  <si>
    <t>gauge_good_mult_max</t>
  </si>
  <si>
    <t>아쉬워요 최소 배율</t>
  </si>
  <si>
    <t>gauge_miss_mult_min</t>
  </si>
  <si>
    <t>아쉬워요 최대 배율</t>
  </si>
  <si>
    <t>gauge_miss_mult_max</t>
  </si>
  <si>
    <t>배율 → 속도 지수</t>
  </si>
  <si>
    <t>gauge_speed_exponent</t>
  </si>
  <si>
    <t>발사 속도 × (힘×배율)^지수. 0.5 = 힘×배율이 거리에 그대로 곱해짐(GDD "최대 거리 ×1.27"). 1 = 샘플처럼 속도에 곱함(거리는 제곱)</t>
  </si>
  <si>
    <t>최대 당김 거리</t>
  </si>
  <si>
    <t>pull_max_px</t>
  </si>
  <si>
    <t>샘플 MAXPULL. 이 거리에서 힘 110%</t>
  </si>
  <si>
    <t>최소 발사 힘</t>
  </si>
  <si>
    <t>pull_min_power</t>
  </si>
  <si>
    <t>이보다 약하게 놓으면 발사 취소 (샘플과 같음)</t>
  </si>
  <si>
    <t>최대 발사 각</t>
  </si>
  <si>
    <t>launch_angle_max_deg</t>
  </si>
  <si>
    <t>°</t>
  </si>
  <si>
    <t>뒤로만 날아가지 않게 0°~최대 각으로 제한</t>
  </si>
  <si>
    <t>비행 조작 (GDD §2 비행 중 조작 3종)</t>
  </si>
  <si>
    <t>부스터 연료</t>
  </si>
  <si>
    <t>boost_fuel_sec</t>
  </si>
  <si>
    <t>2.5D 샘플 fuel 1.5. 연료 = 공식 부스터 거리(20·Lv^1.3 × 바운스 배율)를 이 시간 동안 나눠 씀. 공중에서 다 쓰면 공식 거리와 같음</t>
  </si>
  <si>
    <t>부스터 1탭 분사</t>
  </si>
  <si>
    <t>boost_tap_sec</t>
  </si>
  <si>
    <t>탭 한 번에 쓰는 연료 (1.5초 = 5탭)</t>
  </si>
  <si>
    <t>볼 부풀리기 활공비</t>
  </si>
  <si>
    <t>inflate_glide_ratio</t>
  </si>
  <si>
    <t>낙하/수평</t>
  </si>
  <si>
    <t>부풀린 동안 낙하 속도 ≤ 수평 속도 × 이 값 (낙하산 활공)</t>
  </si>
  <si>
    <t>볼 부풀리기 감속</t>
  </si>
  <si>
    <t>inflate_drag_per_sec</t>
  </si>
  <si>
    <t>1/초</t>
  </si>
  <si>
    <t>부풀린 동안 수평 속도 감소율 (멀리 vs 빠르게)</t>
  </si>
  <si>
    <t>급강하 속도비</t>
  </si>
  <si>
    <t>dive_speed_ratio</t>
  </si>
  <si>
    <t>급강하 시 낙하 속도 = 수평 속도 × 이 값 이상</t>
  </si>
  <si>
    <t>급강하 바운스 배율</t>
  </si>
  <si>
    <t>dive_bounce_mult</t>
  </si>
  <si>
    <t>급강하로 바운스 오브젝트를 맞히면 튀는 속도 배율 (P5)</t>
  </si>
  <si>
    <t>급강하 퍼펙트 창</t>
  </si>
  <si>
    <t>dive_perfect_window_sec</t>
  </si>
  <si>
    <t>급강하 시작 후 이 시간 안에 맞히면 퍼펙트 (P5)</t>
  </si>
  <si>
    <t>급강하 퍼펙트 배율</t>
  </si>
  <si>
    <t>dive_perfect_mult</t>
  </si>
  <si>
    <t>퍼펙트 보너스 튀는 속도 배율 (P5)</t>
  </si>
  <si>
    <t>홀드 판정 시간</t>
  </si>
  <si>
    <t>gesture_hold_sec</t>
  </si>
  <si>
    <t>이보다 오래 누르면 볼 부풀리기, 짧게 떼면 부스터 탭</t>
  </si>
  <si>
    <t>스와이프 거리</t>
  </si>
  <si>
    <t>gesture_swipe_px</t>
  </si>
  <si>
    <t>아래로 이만큼 쓸면 급강하</t>
  </si>
  <si>
    <t>스와이프 시간</t>
  </si>
  <si>
    <t>gesture_swipe_max_sec</t>
  </si>
  <si>
    <t>이 시간 안에 쓸어야 스와이프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</si>
  <si>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</si>
  <si>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</si>
  <si>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</si>
  <si>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</si>
  <si>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</si>
  <si>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</si>
  <si>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</si>
  <si>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</si>
  <si>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</si>
  <si>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</si>
  <si>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</si>
  <si>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</si>
  <si>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</si>
  <si>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</si>
  <si>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</si>
  <si>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</si>
  <si>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</si>
  <si>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</si>
  <si>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</si>
  <si>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</si>
  <si>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</si>
  <si>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</si>
  <si>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</si>
  <si>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</si>
  <si>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</si>
  <si>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</si>
  <si>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</si>
  <si>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</si>
  <si>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</si>
  <si>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</si>
  <si>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</si>
  <si>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</si>
  <si>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</si>
  <si>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</si>
  <si>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</si>
  <si>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</si>
  <si>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</si>
  <si>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</si>
  <si>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</si>
  <si>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</si>
  <si>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</si>
  <si>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</si>
  <si>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</si>
  <si>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</si>
  <si>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</si>
  <si>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</si>
  <si>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</si>
  <si>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</si>
  <si>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</si>
  <si>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</si>
  <si>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</si>
  <si>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</si>
  <si>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</si>
  <si>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</si>
  <si>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</si>
  <si>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</si>
  <si>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</si>
  <si>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</si>
  <si>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</si>
  <si>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</si>
  <si>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</si>
  <si>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</si>
  <si>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</si>
  <si>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</si>
  <si>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</si>
  <si>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</si>
  <si>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</si>
  <si>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</si>
  <si>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</si>
  <si>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</si>
  <si>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</si>
  <si>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</si>
  <si>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</si>
  <si>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</si>
  <si>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</si>
  <si>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</si>
  <si>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</si>
  <si>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</si>
  <si>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</si>
  <si>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</si>
  <si>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</si>
  <si>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</si>
  <si>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</si>
  <si>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</si>
  <si>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</si>
  <si>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</si>
  <si>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</si>
  <si>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</si>
  <si>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</si>
  <si>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</si>
  <si>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</si>
  <si>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</si>
  <si>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</si>
  <si>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</si>
  <si>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</si>
  <si>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</si>
  <si>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</si>
  <si>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</si>
  <si>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</si>
  <si>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</si>
  <si>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</si>
  <si>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</si>
  <si>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</si>
  <si>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</si>
  <si>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</si>
  <si>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</si>
  <si>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</si>
  <si>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</si>
  <si>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</si>
  <si>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</si>
  <si>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</si>
  <si>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</si>
  <si>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</si>
  <si>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</si>
  <si>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</si>
  <si>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</si>
  <si>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</si>
  <si>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</si>
  <si>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</si>
  <si>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</si>
  <si>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</si>
  <si>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</si>
  <si>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</si>
  <si>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</si>
  <si>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</si>
  <si>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</si>
  <si>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</si>
  <si>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</si>
  <si>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</si>
  <si>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</si>
  <si>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</si>
  <si>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</si>
  <si>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</si>
  <si>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</si>
  <si>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</si>
  <si>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</si>
  <si>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</si>
  <si>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</si>
  <si>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</si>
  <si>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</si>
  <si>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★★★ 미션 (JSON, GDD §4 미션 타입)</t>
  </si>
  <si>
    <t>★★★ 미션 설명</t>
  </si>
  <si>
    <t>[{"type":"grade_min","grade":"perfect"}]</t>
  </si>
  <si>
    <t>PERFECT 발사로 클리어</t>
  </si>
  <si>
    <t>[{"type":"seeds_min","n":5}]</t>
  </si>
  <si>
    <t>씨앗 5개 모으기</t>
  </si>
  <si>
    <t>[{"type":"hit","obj":"tramp","n":2}]</t>
  </si>
  <si>
    <t>트램폴린 2회</t>
  </si>
  <si>
    <t>[{"type":"hit","obj":"clothesline","n":2}]</t>
  </si>
  <si>
    <t>빨랫줄 2회 튕기기</t>
  </si>
  <si>
    <t>[{"type":"no_boost"}]</t>
  </si>
  <si>
    <t>부스터를 쓰지 않고 클리어</t>
  </si>
  <si>
    <t>[{"type":"hit","obj":"balloon","n":2}]</t>
  </si>
  <si>
    <t>풍선 2개</t>
  </si>
  <si>
    <t>[{"type":"glide_sec","sec":3}]</t>
  </si>
  <si>
    <t>볼 부풀리기 활공 누적 3초</t>
  </si>
  <si>
    <t>[{"type":"hit","obj":"fountain","n":2}]</t>
  </si>
  <si>
    <t>분수 2회</t>
  </si>
  <si>
    <t>[{"type":"dive_perfect","n":1}]</t>
  </si>
  <si>
    <t>급강하 퍼펙트 1회</t>
  </si>
  <si>
    <t>[{"type":"boss_margin_sec","sec":3}]</t>
  </si>
  <si>
    <t>대장보다 3초 이상 먼저 골인</t>
  </si>
  <si>
    <t>[{"type":"hit","obj":"updraft","n":2}]</t>
  </si>
  <si>
    <t>실외기 상승기류 2회</t>
  </si>
  <si>
    <t>[{"type":"no_hit","obj":"crow"}]</t>
  </si>
  <si>
    <t>까마귀에게 한 번도 안 부딪히기</t>
  </si>
  <si>
    <t>[{"type":"hit","obj":"billboard","n":1},{"type":"seeds_min","n":40}]</t>
  </si>
  <si>
    <t>광고판 씨앗 폭발 1회 + 씨앗 40개</t>
  </si>
  <si>
    <t>[{"type":"combo_min","n":6}]</t>
  </si>
  <si>
    <t>콤보 6</t>
  </si>
  <si>
    <t>[{"type":"boss_meter_max","ratio":0.5}]</t>
  </si>
  <si>
    <t>훔친 씨앗 게이지 50% 미만으로 클리어</t>
  </si>
  <si>
    <t>[{"type":"hit","obj":"cloud_tramp","n":3}]</t>
  </si>
  <si>
    <t>구름 트램폴린 3회</t>
  </si>
  <si>
    <t>[{"type":"ride_full","obj":"rainbow","n":1}]</t>
  </si>
  <si>
    <t>무지개 레일 끝까지 타기</t>
  </si>
  <si>
    <t>[{"type":"no_hit","obj":"thundercloud"}]</t>
  </si>
  <si>
    <t>번개구름 0회</t>
  </si>
  <si>
    <t>[{"type":"overcharge_perfect","power":1.05}]</t>
  </si>
  <si>
    <t>힘 105% 이상으로 PERFECT 발사</t>
  </si>
  <si>
    <t>[{"type":"no_hit","obj":"lightning"}]</t>
  </si>
  <si>
    <t>번개 피격 0회로 클리어</t>
  </si>
  <si>
    <t>[{"type":"hit","obj":"satellite","n":3}]</t>
  </si>
  <si>
    <t>인공위성 바운스 3회</t>
  </si>
  <si>
    <t>[{"type":"fuel_left_min","ratio":0.5}]</t>
  </si>
  <si>
    <t>부스터 연료 50% 이상 남기고 클리어</t>
  </si>
  <si>
    <t>[{"type":"no_hit","obj":"meteor"}]</t>
  </si>
  <si>
    <t>운석 0회</t>
  </si>
  <si>
    <t>[{"type":"combo_min","n":10}]</t>
  </si>
  <si>
    <t>콤보 10</t>
  </si>
  <si>
    <t>[{"type":"boss_perfect_all","n":3}]</t>
  </si>
  <si>
    <t>블랙홀 3개 모두 퍼펙트 탈출</t>
  </si>
  <si>
    <t>[{"type":"land_in_zone","radius_m":50}]</t>
  </si>
  <si>
    <t>착륙 패드(±50m) 안에 멈추기 — ★ 달 도달 / ★★ 씨앗 100개 / ★★★ 착륙 패드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</si>
  <si>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</si>
  <si>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</si>
  <si>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</si>
  <si>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</si>
  <si>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</si>
  <si>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</si>
  <si>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</si>
  <si>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</si>
  <si>
    <t>보스 (GDD §4 보스 스테이지 상세)</t>
  </si>
  <si>
    <t>2-5 대장 골인 시간</t>
  </si>
  <si>
    <t>boss_2_5_rival_time_sec</t>
  </si>
  <si>
    <t>대장이 0→2,000m 에 걸리는 시간(초). 플레이테스트로 확정</t>
  </si>
  <si>
    <t>2-5 비둘기 배치 배율</t>
  </si>
  <si>
    <t>boss_2_5_pigeon_mult</t>
  </si>
  <si>
    <t>보통 공원 대비 비둘기 수</t>
  </si>
  <si>
    <t>보스 연속 실패 완화 단계</t>
  </si>
  <si>
    <t>boss_fail_ease_step</t>
  </si>
  <si>
    <t>3판 연속 실패마다 난이도 5% 완화</t>
  </si>
  <si>
    <t>보스 완화 최대</t>
  </si>
  <si>
    <t>boss_fail_ease_max</t>
  </si>
  <si>
    <t>최대 15%. 클리어하면 초기화</t>
  </si>
  <si>
    <t>오브젝트 — 효과·배치 (GDD §4 월드 테마·배치 규칙, 월드 1~3)</t>
  </si>
  <si>
    <t>GDD 에 수치가 없어 2.5D 샘플(트램폴린·풍선)과 설계값으로 정함. 크기·높이·간격은 거리 배율 s(x) 로 커진다: s = max(1, 간격 / 기준 간격). 속도 단위 m/s (샘플 px/s ÷ 86.6 = 카메라 52.6px/m × 시간배율 1.648).</t>
  </si>
  <si>
    <t>이름</t>
  </si>
  <si>
    <t>분류</t>
  </si>
  <si>
    <t>반지름(m)</t>
  </si>
  <si>
    <t>값1</t>
  </si>
  <si>
    <t>값2</t>
  </si>
  <si>
    <t>값3</t>
  </si>
  <si>
    <t>seed</t>
  </si>
  <si>
    <t>씨앗</t>
  </si>
  <si>
    <t>pickup</t>
  </si>
  <si>
    <t>먹으면 씨앗 1개(콤보 배율 적용). 5개씩 호 모양 줄</t>
  </si>
  <si>
    <t>tramp</t>
  </si>
  <si>
    <t>트램폴린</t>
  </si>
  <si>
    <t>bounce</t>
  </si>
  <si>
    <t>땅 위. 위에서 닿으면 낙하 속도×값1(최소 값2 m/s)로 튕김, 수평×값3 (샘플)</t>
  </si>
  <si>
    <t>clothesline</t>
  </si>
  <si>
    <t>빨랫줄</t>
  </si>
  <si>
    <t>공중 줄. 위에서 닿으면 튕김(×값1, 최소 값2), 앞으로 수평×값3</t>
  </si>
  <si>
    <t>balloon</t>
  </si>
  <si>
    <t>풍선</t>
  </si>
  <si>
    <t>lift</t>
  </si>
  <si>
    <t>상승: 위 속도 ≥ max(값1, 속력×값2), 수평 +값3 m/s (샘플)</t>
  </si>
  <si>
    <t>fountain</t>
  </si>
  <si>
    <t>분수</t>
  </si>
  <si>
    <t>땅 위 수직 발사: 위 속도 ≥ max(값1, 속력×값2)</t>
  </si>
  <si>
    <t>pigeon</t>
  </si>
  <si>
    <t>비둘기</t>
  </si>
  <si>
    <t>boost</t>
  </si>
  <si>
    <t>올라타기: 수평×값1, 위 속도 ≥ 값2 (GDD 2-5 “올라타면 가속”)</t>
  </si>
  <si>
    <t>updraft</t>
  </si>
  <si>
    <t>실외기 상승기류</t>
  </si>
  <si>
    <t>area</t>
  </si>
  <si>
    <t>땅에서 높이 값2(×s) 까지 기둥, 안에 있으면 위로 값1 m/s² 가속</t>
  </si>
  <si>
    <t>umbrella</t>
  </si>
  <si>
    <t>빨간 우산</t>
  </si>
  <si>
    <t>glide</t>
  </si>
  <si>
    <t>값1초 동안 완전 활공(낙하 ≤ 수평×값2, 감속 없음)</t>
  </si>
  <si>
    <t>billboard</t>
  </si>
  <si>
    <t>광고판</t>
  </si>
  <si>
    <t>seeds</t>
  </si>
  <si>
    <t>충돌 시 씨앗 폭발 +값1개, 수평 감속 값2</t>
  </si>
  <si>
    <t>branch</t>
  </si>
  <si>
    <t>나뭇가지</t>
  </si>
  <si>
    <t>obstacle</t>
  </si>
  <si>
    <t>장애물: 수평 속도 −값1 비율 (비행은 계속)</t>
  </si>
  <si>
    <t>wire</t>
  </si>
  <si>
    <t>전선</t>
  </si>
  <si>
    <t>장애물: 수평 −값1, 아래로 값2 m/s</t>
  </si>
  <si>
    <t>crow</t>
  </si>
  <si>
    <t>까마귀</t>
  </si>
  <si>
    <t>장애물: 수평 −값1, 모은 씨앗 값2개 강탈</t>
  </si>
  <si>
    <t>배치 (GDD §4 배치 규칙)</t>
  </si>
  <si>
    <t>청크 길이</t>
  </si>
  <si>
    <t>spawn_chunk_m</t>
  </si>
  <si>
    <t>m. 청크마다 (런 시드, 청크 번호) 로 결정론 배치</t>
  </si>
  <si>
    <t>최소 간격</t>
  </si>
  <si>
    <t>spawn_min_spacing_m</t>
  </si>
  <si>
    <t>m. 오브젝트 사이 간격 = max(최소, 거리×비율) ± 30%</t>
  </si>
  <si>
    <t>간격 비율</t>
  </si>
  <si>
    <t>spawn_spacing_ratio</t>
  </si>
  <si>
    <t>거리 x 에서 간격 = x × 0.08 (멀리 갈수록 성기고 커짐)</t>
  </si>
  <si>
    <t>기준 간격</t>
  </si>
  <si>
    <t>spawn_scale_ref_m</t>
  </si>
  <si>
    <t>m. 거리 배율 s = max(1, 간격 / 기준 간격) — 크기·높이에 곱함</t>
  </si>
  <si>
    <t>최저 높이</t>
  </si>
  <si>
    <t>spawn_min_h_m</t>
  </si>
  <si>
    <t>높이 기본</t>
  </si>
  <si>
    <t>spawn_h_base_m</t>
  </si>
  <si>
    <t>m. 최고 높이 = 기본 + 거리 × 높이 비율</t>
  </si>
  <si>
    <t>높이 비율</t>
  </si>
  <si>
    <t>spawn_h_ratio</t>
  </si>
  <si>
    <t>45° 궤적 최고점 ≈ 거리/4 → 궤적 안에 들어오게</t>
  </si>
  <si>
    <t>씨앗 줄 개수</t>
  </si>
  <si>
    <t>seed_row_count</t>
  </si>
  <si>
    <t>샘플과 같음</t>
  </si>
  <si>
    <t>월드별 배치 비중 (장애물 비율은 GDD: 0% → 30%, 공원 최대 10%)</t>
  </si>
  <si>
    <t>obstacle_ratio</t>
  </si>
  <si>
    <t>※ 장애물(분류 obstacle) 비중은 장애물끼리, 나머지는 나머지끼리 정규화. 월드 4~6 은 P11.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</si>
</sst>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name val="Arial"/>
      <charset val="1"/>
    </font>
    <font>
      <b/>
      <sz val="14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5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  <row r="28" spans="1:7">
      <c r="A28" t="s">
        <v>71</v>
      </c>
      <c r="B28" t="s">
        <v>30</v>
      </c>
      <c r="C28" t="s">
        <v>31</v>
      </c>
      <c r="D28" t="s">
        <v>32</v>
      </c>
      <c r="E28" t="s">
        <v>8</v>
      </c>
    </row>
    <row r="29" spans="1:7">
      <c r="A29" t="s">
        <v>72</v>
      </c>
      <c r="B29" t="s">
        <v>73</v>
      </c>
      <c r="C29">
        <v>1300</v>
      </c>
      <c r="D29" t="s">
        <v>74</v>
      </c>
      <c r="E29" t="s">
        <v>75</v>
      </c>
    </row>
    <row r="30" spans="1:7">
      <c r="A30" t="s">
        <v>76</v>
      </c>
      <c r="B30" t="s">
        <v>77</v>
      </c>
      <c r="C30">
        <v>1400</v>
      </c>
      <c r="D30" t="s">
        <v>78</v>
      </c>
      <c r="E30" t="s">
        <v>79</v>
      </c>
    </row>
    <row r="31" spans="1:7">
      <c r="A31" t="s">
        <v>80</v>
      </c>
      <c r="B31" t="s">
        <v>81</v>
      </c>
      <c r="C31">
        <f>ROUND(C30*C12/(C29*C13),4)</f>
        <v>1.6484</v>
      </c>
      <c r="D31" t="s">
        <v>82</v>
      </c>
      <c r="E31" t="s">
        <v>83</v>
      </c>
    </row>
    <row r="32" spans="1:7">
      <c r="A32" t="s">
        <v>84</v>
      </c>
      <c r="B32" t="s">
        <v>85</v>
      </c>
      <c r="C32">
        <f>ROUND(C29/(C12*C31),3)</f>
        <v>52.576</v>
      </c>
      <c r="D32" t="s">
        <v>86</v>
      </c>
      <c r="E32" t="s">
        <v>87</v>
      </c>
    </row>
    <row r="33" spans="1:5">
      <c r="A33" t="s">
        <v>88</v>
      </c>
      <c r="B33" t="s">
        <v>89</v>
      </c>
      <c r="C33">
        <v>38</v>
      </c>
      <c r="D33" t="s">
        <v>90</v>
      </c>
      <c r="E33" t="s">
        <v>91</v>
      </c>
    </row>
    <row r="34" spans="1:5">
      <c r="A34" t="s">
        <v>92</v>
      </c>
      <c r="B34" t="s">
        <v>30</v>
      </c>
      <c r="C34" t="s">
        <v>31</v>
      </c>
      <c r="D34" t="s">
        <v>32</v>
      </c>
      <c r="E34" t="s">
        <v>8</v>
      </c>
    </row>
    <row r="35" spans="1:5">
      <c r="A35" t="s">
        <v>93</v>
      </c>
      <c r="B35" t="s">
        <v>94</v>
      </c>
      <c r="C35">
        <v>1.1</v>
      </c>
      <c r="D35" t="s">
        <v>82</v>
      </c>
      <c r="E35" t="s">
        <v>95</v>
      </c>
    </row>
    <row r="36" spans="1:5">
      <c r="A36" t="s">
        <v>96</v>
      </c>
      <c r="B36" t="s">
        <v>97</v>
      </c>
      <c r="C36">
        <v>0.45</v>
      </c>
      <c r="D36" t="s">
        <v>98</v>
      </c>
      <c r="E36" t="s">
        <v>99</v>
      </c>
    </row>
    <row r="37" spans="1:5">
      <c r="A37" t="s">
        <v>100</v>
      </c>
      <c r="B37" t="s">
        <v>101</v>
      </c>
      <c r="C37">
        <v>1.35</v>
      </c>
      <c r="D37" t="s">
        <v>98</v>
      </c>
      <c r="E37" t="s">
        <v>102</v>
      </c>
    </row>
    <row r="38" spans="1:5">
      <c r="A38" t="s">
        <v>103</v>
      </c>
      <c r="B38" t="s">
        <v>104</v>
      </c>
      <c r="C38">
        <v>9</v>
      </c>
      <c r="D38" t="s">
        <v>82</v>
      </c>
      <c r="E38" t="s">
        <v>105</v>
      </c>
    </row>
    <row r="39" spans="1:5">
      <c r="A39" t="s">
        <v>106</v>
      </c>
      <c r="B39" t="s">
        <v>107</v>
      </c>
      <c r="C39">
        <v>0.1</v>
      </c>
      <c r="D39" t="s">
        <v>108</v>
      </c>
      <c r="E39" t="s">
        <v>109</v>
      </c>
    </row>
    <row r="40" spans="1:5">
      <c r="A40" t="s">
        <v>110</v>
      </c>
      <c r="B40" t="s">
        <v>111</v>
      </c>
      <c r="C40">
        <v>0.3</v>
      </c>
      <c r="D40" t="s">
        <v>108</v>
      </c>
      <c r="E40" t="s">
        <v>112</v>
      </c>
    </row>
    <row r="41" spans="1:5">
      <c r="A41" t="s">
        <v>113</v>
      </c>
      <c r="B41" t="s">
        <v>114</v>
      </c>
      <c r="C41">
        <v>0.6</v>
      </c>
      <c r="D41" t="s">
        <v>108</v>
      </c>
      <c r="E41" t="s">
        <v>115</v>
      </c>
    </row>
    <row r="42" spans="1:5">
      <c r="A42" t="s">
        <v>116</v>
      </c>
      <c r="B42" t="s">
        <v>117</v>
      </c>
      <c r="C42">
        <v>1.15</v>
      </c>
      <c r="D42" t="s">
        <v>82</v>
      </c>
    </row>
    <row r="43" spans="1:5">
      <c r="A43" t="s">
        <v>118</v>
      </c>
      <c r="B43" t="s">
        <v>119</v>
      </c>
      <c r="C43">
        <v>1.03</v>
      </c>
      <c r="D43" t="s">
        <v>82</v>
      </c>
      <c r="E43" t="s">
        <v>120</v>
      </c>
    </row>
    <row r="44" spans="1:5">
      <c r="A44" t="s">
        <v>121</v>
      </c>
      <c r="B44" t="s">
        <v>122</v>
      </c>
      <c r="C44">
        <v>1.13</v>
      </c>
      <c r="D44" t="s">
        <v>82</v>
      </c>
      <c r="E44" t="s">
        <v>123</v>
      </c>
    </row>
    <row r="45" spans="1:5">
      <c r="A45" t="s">
        <v>124</v>
      </c>
      <c r="B45" t="s">
        <v>125</v>
      </c>
      <c r="C45">
        <v>0.95</v>
      </c>
      <c r="D45" t="s">
        <v>82</v>
      </c>
    </row>
    <row r="46" spans="1:5">
      <c r="A46" t="s">
        <v>126</v>
      </c>
      <c r="B46" t="s">
        <v>127</v>
      </c>
      <c r="C46">
        <v>1.03</v>
      </c>
      <c r="D46" t="s">
        <v>82</v>
      </c>
    </row>
    <row r="47" spans="1:5">
      <c r="A47" t="s">
        <v>128</v>
      </c>
      <c r="B47" t="s">
        <v>129</v>
      </c>
      <c r="C47">
        <v>0.8</v>
      </c>
      <c r="D47" t="s">
        <v>82</v>
      </c>
    </row>
    <row r="48" spans="1:5">
      <c r="A48" t="s">
        <v>130</v>
      </c>
      <c r="B48" t="s">
        <v>131</v>
      </c>
      <c r="C48">
        <v>0.95</v>
      </c>
      <c r="D48" t="s">
        <v>82</v>
      </c>
    </row>
    <row r="49" spans="1:5">
      <c r="A49" t="s">
        <v>132</v>
      </c>
      <c r="B49" t="s">
        <v>133</v>
      </c>
      <c r="C49">
        <v>0.5</v>
      </c>
      <c r="D49" t="s">
        <v>19</v>
      </c>
      <c r="E49" t="s">
        <v>134</v>
      </c>
    </row>
    <row r="50" spans="1:5">
      <c r="A50" t="s">
        <v>135</v>
      </c>
      <c r="B50" t="s">
        <v>136</v>
      </c>
      <c r="C50">
        <v>150</v>
      </c>
      <c r="D50" t="s">
        <v>90</v>
      </c>
      <c r="E50" t="s">
        <v>137</v>
      </c>
    </row>
    <row r="51" spans="1:5">
      <c r="A51" t="s">
        <v>138</v>
      </c>
      <c r="B51" t="s">
        <v>139</v>
      </c>
      <c r="C51">
        <v>0.08</v>
      </c>
      <c r="D51" t="s">
        <v>82</v>
      </c>
      <c r="E51" t="s">
        <v>140</v>
      </c>
    </row>
    <row r="52" spans="1:5">
      <c r="A52" t="s">
        <v>141</v>
      </c>
      <c r="B52" t="s">
        <v>142</v>
      </c>
      <c r="C52">
        <v>85</v>
      </c>
      <c r="D52" t="s">
        <v>143</v>
      </c>
      <c r="E52" t="s">
        <v>144</v>
      </c>
    </row>
    <row r="54" spans="1:5">
      <c r="A54" t="s">
        <v>145</v>
      </c>
      <c r="B54" t="s">
        <v>30</v>
      </c>
      <c r="C54" t="s">
        <v>31</v>
      </c>
      <c r="D54" t="s">
        <v>32</v>
      </c>
      <c r="E54" t="s">
        <v>8</v>
      </c>
    </row>
    <row r="55" spans="1:5">
      <c r="A55" t="s">
        <v>146</v>
      </c>
      <c r="B55" t="s">
        <v>147</v>
      </c>
      <c r="C55">
        <v>1.5</v>
      </c>
      <c r="D55" t="s">
        <v>51</v>
      </c>
      <c r="E55" t="s">
        <v>148</v>
      </c>
    </row>
    <row r="56" spans="1:5">
      <c r="A56" t="s">
        <v>149</v>
      </c>
      <c r="B56" t="s">
        <v>150</v>
      </c>
      <c r="C56">
        <v>0.3</v>
      </c>
      <c r="D56" t="s">
        <v>51</v>
      </c>
      <c r="E56" t="s">
        <v>151</v>
      </c>
    </row>
    <row r="57" spans="1:5">
      <c r="A57" t="s">
        <v>152</v>
      </c>
      <c r="B57" t="s">
        <v>153</v>
      </c>
      <c r="C57">
        <v>0.35</v>
      </c>
      <c r="D57" t="s">
        <v>154</v>
      </c>
      <c r="E57" t="s">
        <v>155</v>
      </c>
    </row>
    <row r="58" spans="1:5">
      <c r="A58" t="s">
        <v>156</v>
      </c>
      <c r="B58" t="s">
        <v>157</v>
      </c>
      <c r="C58">
        <v>0.25</v>
      </c>
      <c r="D58" t="s">
        <v>158</v>
      </c>
      <c r="E58" t="s">
        <v>159</v>
      </c>
    </row>
    <row r="59" spans="1:5">
      <c r="A59" t="s">
        <v>160</v>
      </c>
      <c r="B59" t="s">
        <v>161</v>
      </c>
      <c r="C59">
        <v>1.2</v>
      </c>
      <c r="D59" t="s">
        <v>154</v>
      </c>
      <c r="E59" t="s">
        <v>162</v>
      </c>
    </row>
    <row r="60" spans="1:5">
      <c r="A60" t="s">
        <v>163</v>
      </c>
      <c r="B60" t="s">
        <v>164</v>
      </c>
      <c r="C60">
        <v>1.5</v>
      </c>
      <c r="D60" t="s">
        <v>82</v>
      </c>
      <c r="E60" t="s">
        <v>165</v>
      </c>
    </row>
    <row r="61" spans="1:5">
      <c r="A61" t="s">
        <v>166</v>
      </c>
      <c r="B61" t="s">
        <v>167</v>
      </c>
      <c r="C61">
        <v>0.35</v>
      </c>
      <c r="D61" t="s">
        <v>51</v>
      </c>
      <c r="E61" t="s">
        <v>168</v>
      </c>
    </row>
    <row r="62" spans="1:5">
      <c r="A62" t="s">
        <v>169</v>
      </c>
      <c r="B62" t="s">
        <v>170</v>
      </c>
      <c r="C62">
        <v>1.2</v>
      </c>
      <c r="D62" t="s">
        <v>82</v>
      </c>
      <c r="E62" t="s">
        <v>171</v>
      </c>
    </row>
    <row r="63" spans="1:5">
      <c r="A63" t="s">
        <v>172</v>
      </c>
      <c r="B63" t="s">
        <v>173</v>
      </c>
      <c r="C63">
        <v>0.18</v>
      </c>
      <c r="D63" t="s">
        <v>51</v>
      </c>
      <c r="E63" t="s">
        <v>174</v>
      </c>
    </row>
    <row r="64" spans="1:5">
      <c r="A64" t="s">
        <v>175</v>
      </c>
      <c r="B64" t="s">
        <v>176</v>
      </c>
      <c r="C64">
        <v>40</v>
      </c>
      <c r="D64" t="s">
        <v>90</v>
      </c>
      <c r="E64" t="s">
        <v>177</v>
      </c>
    </row>
    <row r="65" spans="1:5">
      <c r="A65" t="s">
        <v>178</v>
      </c>
      <c r="B65" t="s">
        <v>179</v>
      </c>
      <c r="C65">
        <v>0.35</v>
      </c>
      <c r="D65" t="s">
        <v>51</v>
      </c>
      <c r="E65" t="s">
        <v>180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181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182</v>
      </c>
      <c r="B3" s="3" t="s">
        <v>183</v>
      </c>
      <c r="C3" s="3" t="s">
        <v>184</v>
      </c>
      <c r="D3" s="3" t="s">
        <v>185</v>
      </c>
      <c r="E3" s="3" t="s">
        <v>186</v>
      </c>
      <c r="F3" s="3" t="s">
        <v>187</v>
      </c>
      <c r="G3" s="3" t="s">
        <v>188</v>
      </c>
      <c r="H3" s="3" t="s">
        <v>189</v>
      </c>
      <c r="I3" s="3" t="s">
        <v>190</v>
      </c>
      <c r="J3" s="3" t="s">
        <v>191</v>
      </c>
      <c r="K3" s="3" t="s">
        <v>27</v>
      </c>
      <c r="L3" s="3" t="s">
        <v>192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193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194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195</v>
      </c>
      <c r="B4" s="3" t="s">
        <v>196</v>
      </c>
      <c r="C4" s="3" t="s">
        <v>197</v>
      </c>
      <c r="D4" s="3" t="s">
        <v>198</v>
      </c>
      <c r="E4" s="3" t="s">
        <v>199</v>
      </c>
      <c r="F4" s="3" t="s">
        <v>200</v>
      </c>
      <c r="G4" s="3" t="s">
        <v>201</v>
      </c>
      <c r="H4" s="3" t="s">
        <v>202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203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204</v>
      </c>
      <c r="Q29" s="23" t="s">
        <v>205</v>
      </c>
      <c r="R29" s="23" t="s">
        <v>206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207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208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209</v>
      </c>
      <c r="B3" s="3" t="s">
        <v>31</v>
      </c>
      <c r="C3" s="3" t="s">
        <v>32</v>
      </c>
      <c r="D3" s="3" t="s">
        <v>210</v>
      </c>
    </row>
    <row r="4" spans="1:4">
      <c r="A4" s="7" t="s">
        <v>211</v>
      </c>
      <c r="B4" s="6">
        <v>10000</v>
      </c>
      <c r="C4" s="5" t="s">
        <v>212</v>
      </c>
      <c r="D4" s="5" t="s">
        <v>213</v>
      </c>
    </row>
    <row r="5" spans="1:4">
      <c r="A5" s="5" t="s">
        <v>214</v>
      </c>
      <c r="B5" s="6">
        <v>3</v>
      </c>
      <c r="C5" s="5" t="s">
        <v>215</v>
      </c>
      <c r="D5" s="5" t="s">
        <v>216</v>
      </c>
    </row>
    <row r="6" spans="1:4">
      <c r="A6" s="5" t="s">
        <v>217</v>
      </c>
      <c r="B6" s="6">
        <v>10</v>
      </c>
      <c r="C6" s="7" t="s">
        <v>218</v>
      </c>
      <c r="D6" s="5" t="s">
        <v>219</v>
      </c>
    </row>
    <row r="7" spans="1:4">
      <c r="A7" s="5" t="s">
        <v>220</v>
      </c>
      <c r="B7" s="6">
        <v>4</v>
      </c>
      <c r="C7" s="5" t="s">
        <v>215</v>
      </c>
      <c r="D7" s="7" t="s">
        <v>221</v>
      </c>
    </row>
    <row r="8" spans="1:4">
      <c r="A8" s="5" t="s">
        <v>222</v>
      </c>
      <c r="B8" s="6">
        <v>6</v>
      </c>
      <c r="C8" s="7" t="s">
        <v>218</v>
      </c>
      <c r="D8" s="5" t="s">
        <v>223</v>
      </c>
    </row>
    <row r="9" spans="1:4">
      <c r="A9" s="5" t="s">
        <v>224</v>
      </c>
      <c r="B9" s="16">
        <v>0.01</v>
      </c>
      <c r="C9" s="7" t="s">
        <v>225</v>
      </c>
      <c r="D9" s="5" t="s">
        <v>223</v>
      </c>
    </row>
    <row r="10" spans="1:4">
      <c r="A10" s="7" t="s">
        <v>226</v>
      </c>
      <c r="B10" s="16">
        <v>0.01</v>
      </c>
      <c r="C10" s="5" t="s">
        <v>227</v>
      </c>
      <c r="D10" s="5" t="s">
        <v>228</v>
      </c>
    </row>
    <row r="11" spans="1:4">
      <c r="A11" s="5" t="s">
        <v>229</v>
      </c>
      <c r="B11" s="6">
        <v>3</v>
      </c>
      <c r="C11" s="7" t="s">
        <v>218</v>
      </c>
      <c r="D11" s="5" t="s">
        <v>230</v>
      </c>
    </row>
    <row r="12" spans="1:4">
      <c r="A12" s="5" t="s">
        <v>231</v>
      </c>
      <c r="B12" s="16">
        <v>0.15</v>
      </c>
      <c r="C12" s="5"/>
      <c r="D12" s="7" t="s">
        <v>232</v>
      </c>
    </row>
    <row r="13" spans="1:4">
      <c r="A13" s="5" t="s">
        <v>233</v>
      </c>
      <c r="B13" s="6">
        <v>1380</v>
      </c>
      <c r="C13" s="7" t="s">
        <v>234</v>
      </c>
      <c r="D13" s="5" t="s">
        <v>235</v>
      </c>
    </row>
    <row r="14" spans="1:4">
      <c r="A14" s="15"/>
      <c r="B14" s="15"/>
      <c r="C14" s="15"/>
      <c r="D14" s="15"/>
    </row>
    <row r="15" spans="1:4">
      <c r="A15" s="3" t="s">
        <v>236</v>
      </c>
      <c r="B15" s="3" t="s">
        <v>237</v>
      </c>
      <c r="C15" s="3" t="s">
        <v>238</v>
      </c>
      <c r="D15" s="3" t="s">
        <v>239</v>
      </c>
    </row>
    <row r="16" spans="1:4">
      <c r="A16" s="5" t="s">
        <v>240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241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242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243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244</v>
      </c>
      <c r="B20" s="19">
        <f>IF(B19&gt;0,(B16+B17)/B19,0)</f>
        <v>0.678274034822104</v>
      </c>
      <c r="C20" s="15"/>
      <c r="D20" s="15"/>
    </row>
    <row r="21" spans="1:4">
      <c r="A21" s="7" t="s">
        <v>245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246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247</v>
      </c>
    </row>
    <row r="3" spans="1:5">
      <c r="A3" s="3" t="s">
        <v>248</v>
      </c>
      <c r="B3" s="3" t="s">
        <v>249</v>
      </c>
      <c r="C3" s="4" t="s">
        <v>250</v>
      </c>
      <c r="D3" s="3" t="s">
        <v>251</v>
      </c>
      <c r="E3" s="3" t="s">
        <v>252</v>
      </c>
    </row>
    <row r="4" spans="1:5">
      <c r="A4" s="5" t="s">
        <v>253</v>
      </c>
      <c r="B4" s="6">
        <v>7</v>
      </c>
      <c r="C4" s="6">
        <v>30</v>
      </c>
      <c r="D4" s="5">
        <f>B4*C4</f>
        <v>210</v>
      </c>
      <c r="E4" s="5" t="s">
        <v>254</v>
      </c>
    </row>
    <row r="5" spans="1:5">
      <c r="A5" s="5" t="s">
        <v>255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256</v>
      </c>
      <c r="B6" s="6">
        <v>1</v>
      </c>
      <c r="C6" s="6">
        <v>100</v>
      </c>
      <c r="D6" s="5">
        <f>B6*C6</f>
        <v>100</v>
      </c>
      <c r="E6" s="7" t="s">
        <v>257</v>
      </c>
    </row>
    <row r="7" spans="1:5">
      <c r="A7" s="5" t="s">
        <v>258</v>
      </c>
      <c r="B7" s="6">
        <v>3</v>
      </c>
      <c r="C7" s="6">
        <v>20</v>
      </c>
      <c r="D7" s="5">
        <f>B7*C7</f>
        <v>60</v>
      </c>
      <c r="E7" s="5" t="s">
        <v>259</v>
      </c>
    </row>
    <row r="8" spans="1:5">
      <c r="A8" s="5" t="s">
        <v>260</v>
      </c>
      <c r="B8" s="6">
        <v>5</v>
      </c>
      <c r="C8" s="6">
        <v>5</v>
      </c>
      <c r="D8" s="5">
        <f>B8*C8</f>
        <v>25</v>
      </c>
      <c r="E8" s="5" t="s">
        <v>261</v>
      </c>
    </row>
    <row r="9" spans="1:5">
      <c r="A9" s="12" t="s">
        <v>262</v>
      </c>
      <c r="D9" s="12">
        <f>SUM(D4:D8)</f>
        <v>535</v>
      </c>
    </row>
    <row r="11" spans="1:5">
      <c r="A11" s="3" t="s">
        <v>263</v>
      </c>
      <c r="B11" s="3" t="s">
        <v>264</v>
      </c>
      <c r="C11" s="3"/>
      <c r="D11" s="3" t="s">
        <v>265</v>
      </c>
      <c r="E11" s="3" t="s">
        <v>252</v>
      </c>
    </row>
    <row r="12" spans="1:5">
      <c r="A12" s="5" t="s">
        <v>266</v>
      </c>
      <c r="B12" s="6">
        <v>100</v>
      </c>
      <c r="D12" s="5">
        <f>ROUND($D$9/B12,1)</f>
        <v>5.4</v>
      </c>
      <c r="E12" s="5" t="s">
        <v>267</v>
      </c>
    </row>
    <row r="13" spans="1:5">
      <c r="A13" s="5" t="s">
        <v>268</v>
      </c>
      <c r="B13" s="6">
        <v>300</v>
      </c>
      <c r="D13" s="5">
        <f>ROUND($D$9/B13,1)</f>
        <v>1.8</v>
      </c>
      <c r="E13" s="5"/>
    </row>
    <row r="14" spans="1:5">
      <c r="A14" s="5" t="s">
        <v>269</v>
      </c>
      <c r="B14" s="6">
        <v>20</v>
      </c>
      <c r="D14" s="5">
        <f>ROUND($D$9/B14,1)</f>
        <v>26.8</v>
      </c>
      <c r="E14" s="5"/>
    </row>
    <row r="15" spans="1:5">
      <c r="A15" s="5" t="s">
        <v>270</v>
      </c>
      <c r="B15" s="6">
        <v>150</v>
      </c>
      <c r="D15" s="5">
        <f>ROUND($D$9/B15,1)</f>
        <v>3.6</v>
      </c>
      <c r="E15" s="5"/>
    </row>
    <row r="17" ht="28.2" spans="1:5">
      <c r="A17" s="3" t="s">
        <v>271</v>
      </c>
      <c r="B17" s="3" t="s">
        <v>272</v>
      </c>
      <c r="C17" s="3" t="s">
        <v>273</v>
      </c>
      <c r="D17" s="3" t="s">
        <v>274</v>
      </c>
      <c r="E17" s="3" t="s">
        <v>275</v>
      </c>
    </row>
    <row r="18" spans="1:5">
      <c r="A18" s="5" t="s">
        <v>276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277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278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279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280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281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282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283</v>
      </c>
    </row>
    <row r="2" spans="1:8">
      <c r="A2" s="2" t="s">
        <v>284</v>
      </c>
    </row>
    <row r="4" ht="28.2" spans="1:8">
      <c r="A4" s="3" t="s">
        <v>285</v>
      </c>
      <c r="B4" s="3" t="s">
        <v>31</v>
      </c>
      <c r="C4" s="4" t="s">
        <v>3</v>
      </c>
    </row>
    <row r="5" spans="1:8">
      <c r="A5" s="5" t="s">
        <v>286</v>
      </c>
      <c r="B5" s="6">
        <v>0.2</v>
      </c>
      <c r="C5" s="7" t="s">
        <v>287</v>
      </c>
    </row>
    <row r="6" spans="1:8">
      <c r="A6" s="5" t="s">
        <v>288</v>
      </c>
      <c r="B6" s="6">
        <v>0.15</v>
      </c>
      <c r="C6" s="7" t="s">
        <v>289</v>
      </c>
    </row>
    <row r="7" spans="1:8">
      <c r="A7" s="5" t="s">
        <v>290</v>
      </c>
      <c r="B7" s="6">
        <v>0.1</v>
      </c>
      <c r="C7" s="7" t="s">
        <v>291</v>
      </c>
    </row>
    <row r="8" spans="1:8">
      <c r="A8" s="5" t="s">
        <v>292</v>
      </c>
      <c r="B8" s="6">
        <v>8</v>
      </c>
      <c r="C8" s="7" t="s">
        <v>293</v>
      </c>
    </row>
    <row r="9" spans="1:8">
      <c r="A9" s="5" t="s">
        <v>294</v>
      </c>
      <c r="B9" s="6">
        <v>2</v>
      </c>
      <c r="C9" s="7" t="s">
        <v>295</v>
      </c>
    </row>
    <row r="11" ht="28.8" spans="1:8">
      <c r="A11" s="3" t="s">
        <v>296</v>
      </c>
      <c r="B11" s="3" t="s">
        <v>297</v>
      </c>
      <c r="C11" s="3" t="s">
        <v>298</v>
      </c>
      <c r="D11" s="3" t="s">
        <v>299</v>
      </c>
      <c r="E11" s="3" t="s">
        <v>300</v>
      </c>
      <c r="F11" s="4" t="s">
        <v>301</v>
      </c>
      <c r="G11" s="3" t="s">
        <v>302</v>
      </c>
      <c r="H11" s="3" t="s">
        <v>303</v>
      </c>
    </row>
    <row r="12" spans="1:8">
      <c r="A12" s="5" t="s">
        <v>304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305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306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307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308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309</v>
      </c>
    </row>
    <row r="19" spans="1:1">
      <c r="A19" s="11" t="s">
        <v>310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workbookViewId="0">
      <selection activeCell="A1" sqref="A1"/>
    </sheetView>
  </sheetViews>
  <sheetFormatPr defaultColWidth="8.88888888888889" defaultRowHeight="14.4"/>
  <sheetData>
    <row r="1" spans="1:10">
      <c r="A1" t="s">
        <v>311</v>
      </c>
    </row>
    <row r="2" spans="1:10">
      <c r="A2" t="s">
        <v>312</v>
      </c>
    </row>
    <row r="4" spans="1:10">
      <c r="A4" t="s">
        <v>313</v>
      </c>
      <c r="B4" t="s">
        <v>314</v>
      </c>
      <c r="C4" t="s">
        <v>315</v>
      </c>
      <c r="D4" t="s">
        <v>316</v>
      </c>
      <c r="E4" t="s">
        <v>317</v>
      </c>
      <c r="F4" t="s">
        <v>318</v>
      </c>
      <c r="G4" t="s">
        <v>319</v>
      </c>
      <c r="H4" t="s">
        <v>320</v>
      </c>
      <c r="I4" t="s">
        <v>321</v>
      </c>
      <c r="J4" t="s">
        <v>322</v>
      </c>
    </row>
    <row r="5" spans="1:10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  <c r="I5" t="s">
        <v>323</v>
      </c>
      <c r="J5" t="s">
        <v>324</v>
      </c>
    </row>
    <row r="6" spans="1:10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  <c r="I6" t="s">
        <v>325</v>
      </c>
      <c r="J6" t="s">
        <v>326</v>
      </c>
    </row>
    <row r="7" spans="1:10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  <c r="I7" t="s">
        <v>327</v>
      </c>
      <c r="J7" t="s">
        <v>328</v>
      </c>
    </row>
    <row r="8" spans="1:10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  <c r="I8" t="s">
        <v>329</v>
      </c>
      <c r="J8" t="s">
        <v>330</v>
      </c>
    </row>
    <row r="9" spans="1:10">
      <c r="A9">
        <v>1</v>
      </c>
      <c r="B9">
        <v>5</v>
      </c>
      <c r="C9">
        <v>500</v>
      </c>
      <c r="D9" t="s">
        <v>316</v>
      </c>
      <c r="E9">
        <v>13</v>
      </c>
      <c r="F9">
        <v>3</v>
      </c>
      <c r="G9">
        <v>9</v>
      </c>
      <c r="H9">
        <v>2</v>
      </c>
      <c r="I9" t="s">
        <v>331</v>
      </c>
      <c r="J9" t="s">
        <v>332</v>
      </c>
    </row>
    <row r="10" spans="1:10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  <c r="I10" t="s">
        <v>333</v>
      </c>
      <c r="J10" t="s">
        <v>334</v>
      </c>
    </row>
    <row r="11" spans="1:10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  <c r="I11" t="s">
        <v>335</v>
      </c>
      <c r="J11" t="s">
        <v>336</v>
      </c>
    </row>
    <row r="12" spans="1:10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  <c r="I12" t="s">
        <v>337</v>
      </c>
      <c r="J12" t="s">
        <v>338</v>
      </c>
    </row>
    <row r="13" spans="1:10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  <c r="I13" t="s">
        <v>339</v>
      </c>
      <c r="J13" t="s">
        <v>340</v>
      </c>
    </row>
    <row r="14" spans="1:10">
      <c r="A14">
        <v>2</v>
      </c>
      <c r="B14">
        <v>5</v>
      </c>
      <c r="C14">
        <v>2000</v>
      </c>
      <c r="D14" t="s">
        <v>316</v>
      </c>
      <c r="E14">
        <v>20</v>
      </c>
      <c r="F14">
        <v>2</v>
      </c>
      <c r="G14">
        <v>13</v>
      </c>
      <c r="H14">
        <v>1</v>
      </c>
      <c r="I14" t="s">
        <v>341</v>
      </c>
      <c r="J14" t="s">
        <v>342</v>
      </c>
    </row>
    <row r="15" spans="1:10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  <c r="I15" t="s">
        <v>343</v>
      </c>
      <c r="J15" t="s">
        <v>344</v>
      </c>
    </row>
    <row r="16" spans="1:10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  <c r="I16" t="s">
        <v>345</v>
      </c>
      <c r="J16" t="s">
        <v>346</v>
      </c>
    </row>
    <row r="17" spans="1:10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  <c r="I17" t="s">
        <v>347</v>
      </c>
      <c r="J17" t="s">
        <v>348</v>
      </c>
    </row>
    <row r="18" spans="1:10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  <c r="I18" t="s">
        <v>349</v>
      </c>
      <c r="J18" t="s">
        <v>350</v>
      </c>
    </row>
    <row r="19" spans="1:10">
      <c r="A19">
        <v>3</v>
      </c>
      <c r="B19">
        <v>5</v>
      </c>
      <c r="C19">
        <v>6000</v>
      </c>
      <c r="D19" t="s">
        <v>316</v>
      </c>
      <c r="E19">
        <v>29</v>
      </c>
      <c r="F19">
        <v>2</v>
      </c>
      <c r="G19">
        <v>17</v>
      </c>
      <c r="H19">
        <v>1</v>
      </c>
      <c r="I19" t="s">
        <v>351</v>
      </c>
      <c r="J19" t="s">
        <v>352</v>
      </c>
    </row>
    <row r="20" spans="1:10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  <c r="I20" t="s">
        <v>353</v>
      </c>
      <c r="J20" t="s">
        <v>354</v>
      </c>
    </row>
    <row r="21" spans="1:10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  <c r="I21" t="s">
        <v>355</v>
      </c>
      <c r="J21" t="s">
        <v>356</v>
      </c>
    </row>
    <row r="22" spans="1:10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  <c r="I22" t="s">
        <v>357</v>
      </c>
      <c r="J22" t="s">
        <v>358</v>
      </c>
    </row>
    <row r="23" spans="1:10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  <c r="I23" t="s">
        <v>359</v>
      </c>
      <c r="J23" t="s">
        <v>360</v>
      </c>
    </row>
    <row r="24" spans="1:10">
      <c r="A24">
        <v>4</v>
      </c>
      <c r="B24">
        <v>5</v>
      </c>
      <c r="C24">
        <v>15000</v>
      </c>
      <c r="D24" t="s">
        <v>316</v>
      </c>
      <c r="E24">
        <v>45</v>
      </c>
      <c r="F24">
        <v>5</v>
      </c>
      <c r="G24">
        <v>26</v>
      </c>
      <c r="H24">
        <v>3</v>
      </c>
      <c r="I24" t="s">
        <v>361</v>
      </c>
      <c r="J24" t="s">
        <v>362</v>
      </c>
    </row>
    <row r="25" spans="1:10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  <c r="I25" t="s">
        <v>363</v>
      </c>
      <c r="J25" t="s">
        <v>364</v>
      </c>
    </row>
    <row r="26" spans="1:10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  <c r="I26" t="s">
        <v>365</v>
      </c>
      <c r="J26" t="s">
        <v>366</v>
      </c>
    </row>
    <row r="27" spans="1:10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  <c r="I27" t="s">
        <v>367</v>
      </c>
      <c r="J27" t="s">
        <v>368</v>
      </c>
    </row>
    <row r="28" spans="1:10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  <c r="I28" t="s">
        <v>369</v>
      </c>
      <c r="J28" t="s">
        <v>370</v>
      </c>
    </row>
    <row r="29" spans="1:10">
      <c r="A29">
        <v>5</v>
      </c>
      <c r="B29">
        <v>5</v>
      </c>
      <c r="C29">
        <v>40000</v>
      </c>
      <c r="D29" t="s">
        <v>316</v>
      </c>
      <c r="E29">
        <v>113</v>
      </c>
      <c r="F29">
        <v>23</v>
      </c>
      <c r="G29">
        <v>60</v>
      </c>
      <c r="H29">
        <v>12</v>
      </c>
      <c r="I29" t="s">
        <v>371</v>
      </c>
      <c r="J29" t="s">
        <v>372</v>
      </c>
    </row>
    <row r="30" spans="1:10">
      <c r="A30">
        <v>6</v>
      </c>
      <c r="B30">
        <v>1</v>
      </c>
      <c r="D30" t="s">
        <v>308</v>
      </c>
      <c r="I30" t="s">
        <v>373</v>
      </c>
      <c r="J30" t="s">
        <v>374</v>
      </c>
    </row>
    <row r="32" spans="1:10">
      <c r="A32" t="s">
        <v>375</v>
      </c>
      <c r="B32" t="s">
        <v>376</v>
      </c>
      <c r="C32">
        <v>1.3</v>
      </c>
      <c r="D32" t="s">
        <v>377</v>
      </c>
    </row>
    <row r="34" spans="1:4">
      <c r="A34" t="s">
        <v>378</v>
      </c>
      <c r="B34" t="s">
        <v>379</v>
      </c>
      <c r="C34" t="s">
        <v>380</v>
      </c>
      <c r="D34" t="s">
        <v>381</v>
      </c>
    </row>
    <row r="35" spans="1:4">
      <c r="A35">
        <v>2</v>
      </c>
      <c r="B35" t="s">
        <v>382</v>
      </c>
      <c r="C35">
        <v>8</v>
      </c>
    </row>
    <row r="36" spans="1:4">
      <c r="A36">
        <v>3</v>
      </c>
      <c r="B36" t="s">
        <v>382</v>
      </c>
      <c r="C36">
        <v>20</v>
      </c>
    </row>
    <row r="37" spans="1:4">
      <c r="A37">
        <v>4</v>
      </c>
      <c r="B37" t="s">
        <v>382</v>
      </c>
      <c r="C37">
        <v>32</v>
      </c>
    </row>
    <row r="38" spans="1:4">
      <c r="A38">
        <v>5</v>
      </c>
      <c r="B38" t="s">
        <v>382</v>
      </c>
      <c r="C38">
        <v>45</v>
      </c>
    </row>
    <row r="39" spans="1:4">
      <c r="A39">
        <v>6</v>
      </c>
      <c r="B39" t="s">
        <v>382</v>
      </c>
      <c r="C39">
        <v>60</v>
      </c>
    </row>
    <row r="41" spans="1:4">
      <c r="A41" t="s">
        <v>383</v>
      </c>
      <c r="B41" t="s">
        <v>379</v>
      </c>
      <c r="C41" t="s">
        <v>31</v>
      </c>
      <c r="D41" t="s">
        <v>8</v>
      </c>
    </row>
    <row r="42" spans="1:4">
      <c r="A42" t="s">
        <v>384</v>
      </c>
      <c r="B42" t="s">
        <v>385</v>
      </c>
      <c r="C42">
        <v>16</v>
      </c>
      <c r="D42" t="s">
        <v>386</v>
      </c>
    </row>
    <row r="43" spans="1:4">
      <c r="A43" t="s">
        <v>387</v>
      </c>
      <c r="B43" t="s">
        <v>388</v>
      </c>
      <c r="C43">
        <v>1.5</v>
      </c>
      <c r="D43" t="s">
        <v>389</v>
      </c>
    </row>
    <row r="44" spans="1:4">
      <c r="A44" t="s">
        <v>390</v>
      </c>
      <c r="B44" t="s">
        <v>391</v>
      </c>
      <c r="C44">
        <v>0.05</v>
      </c>
      <c r="D44" t="s">
        <v>392</v>
      </c>
    </row>
    <row r="45" spans="1:4">
      <c r="A45" t="s">
        <v>393</v>
      </c>
      <c r="B45" t="s">
        <v>394</v>
      </c>
      <c r="C45">
        <v>0.15</v>
      </c>
      <c r="D45" t="s">
        <v>395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selection activeCell="A1" sqref="A1"/>
    </sheetView>
  </sheetViews>
  <sheetFormatPr defaultColWidth="8.88888888888889" defaultRowHeight="14.4"/>
  <sheetData>
    <row r="1" spans="1:9">
      <c r="A1" t="s">
        <v>396</v>
      </c>
    </row>
    <row r="2" spans="1:9">
      <c r="A2" t="s">
        <v>397</v>
      </c>
    </row>
    <row r="4" spans="1:9">
      <c r="A4" t="s">
        <v>30</v>
      </c>
      <c r="B4" t="s">
        <v>398</v>
      </c>
      <c r="C4" t="s">
        <v>313</v>
      </c>
      <c r="D4" t="s">
        <v>399</v>
      </c>
      <c r="E4" t="s">
        <v>400</v>
      </c>
      <c r="F4" t="s">
        <v>401</v>
      </c>
      <c r="G4" t="s">
        <v>402</v>
      </c>
      <c r="H4" t="s">
        <v>403</v>
      </c>
      <c r="I4" t="s">
        <v>8</v>
      </c>
    </row>
    <row r="5" spans="1:9">
      <c r="A5" t="s">
        <v>404</v>
      </c>
      <c r="B5" t="s">
        <v>405</v>
      </c>
      <c r="C5">
        <v>1</v>
      </c>
      <c r="D5" t="s">
        <v>406</v>
      </c>
      <c r="E5">
        <v>0.25</v>
      </c>
      <c r="F5">
        <v>1</v>
      </c>
      <c r="I5" t="s">
        <v>407</v>
      </c>
    </row>
    <row r="6" spans="1:9">
      <c r="A6" t="s">
        <v>408</v>
      </c>
      <c r="B6" t="s">
        <v>409</v>
      </c>
      <c r="C6">
        <v>1</v>
      </c>
      <c r="D6" t="s">
        <v>410</v>
      </c>
      <c r="E6">
        <v>1.2</v>
      </c>
      <c r="F6">
        <v>1.08</v>
      </c>
      <c r="G6">
        <v>11</v>
      </c>
      <c r="H6">
        <v>1.04</v>
      </c>
      <c r="I6" t="s">
        <v>411</v>
      </c>
    </row>
    <row r="7" spans="1:9">
      <c r="A7" t="s">
        <v>412</v>
      </c>
      <c r="B7" t="s">
        <v>413</v>
      </c>
      <c r="C7">
        <v>1</v>
      </c>
      <c r="D7" t="s">
        <v>410</v>
      </c>
      <c r="E7">
        <v>1</v>
      </c>
      <c r="F7">
        <v>0.9</v>
      </c>
      <c r="G7">
        <v>8</v>
      </c>
      <c r="H7">
        <v>1.15</v>
      </c>
      <c r="I7" t="s">
        <v>414</v>
      </c>
    </row>
    <row r="8" spans="1:9">
      <c r="A8" t="s">
        <v>415</v>
      </c>
      <c r="B8" t="s">
        <v>416</v>
      </c>
      <c r="C8">
        <v>2</v>
      </c>
      <c r="D8" t="s">
        <v>417</v>
      </c>
      <c r="E8">
        <v>0.5</v>
      </c>
      <c r="F8">
        <v>12.1</v>
      </c>
      <c r="G8">
        <v>0.5</v>
      </c>
      <c r="H8">
        <v>1</v>
      </c>
      <c r="I8" t="s">
        <v>418</v>
      </c>
    </row>
    <row r="9" spans="1:9">
      <c r="A9" t="s">
        <v>419</v>
      </c>
      <c r="B9" t="s">
        <v>420</v>
      </c>
      <c r="C9">
        <v>2</v>
      </c>
      <c r="D9" t="s">
        <v>417</v>
      </c>
      <c r="E9">
        <v>1</v>
      </c>
      <c r="F9">
        <v>18</v>
      </c>
      <c r="G9">
        <v>0.7</v>
      </c>
      <c r="H9">
        <v>0</v>
      </c>
      <c r="I9" t="s">
        <v>421</v>
      </c>
    </row>
    <row r="10" spans="1:9">
      <c r="A10" t="s">
        <v>422</v>
      </c>
      <c r="B10" t="s">
        <v>423</v>
      </c>
      <c r="C10">
        <v>2</v>
      </c>
      <c r="D10" t="s">
        <v>424</v>
      </c>
      <c r="E10">
        <v>0.6</v>
      </c>
      <c r="F10">
        <v>1.3</v>
      </c>
      <c r="G10">
        <v>3</v>
      </c>
      <c r="H10">
        <v>0</v>
      </c>
      <c r="I10" t="s">
        <v>425</v>
      </c>
    </row>
    <row r="11" spans="1:9">
      <c r="A11" t="s">
        <v>426</v>
      </c>
      <c r="B11" t="s">
        <v>427</v>
      </c>
      <c r="C11">
        <v>3</v>
      </c>
      <c r="D11" t="s">
        <v>428</v>
      </c>
      <c r="E11">
        <v>2</v>
      </c>
      <c r="F11">
        <v>30</v>
      </c>
      <c r="G11">
        <v>12</v>
      </c>
      <c r="H11">
        <v>0</v>
      </c>
      <c r="I11" t="s">
        <v>429</v>
      </c>
    </row>
    <row r="12" spans="1:9">
      <c r="A12" t="s">
        <v>430</v>
      </c>
      <c r="B12" t="s">
        <v>431</v>
      </c>
      <c r="C12">
        <v>3</v>
      </c>
      <c r="D12" t="s">
        <v>432</v>
      </c>
      <c r="E12">
        <v>0.6</v>
      </c>
      <c r="F12">
        <v>3</v>
      </c>
      <c r="G12">
        <v>0.15</v>
      </c>
      <c r="H12">
        <v>0</v>
      </c>
      <c r="I12" t="s">
        <v>433</v>
      </c>
    </row>
    <row r="13" spans="1:9">
      <c r="A13" t="s">
        <v>434</v>
      </c>
      <c r="B13" t="s">
        <v>435</v>
      </c>
      <c r="C13">
        <v>3</v>
      </c>
      <c r="D13" t="s">
        <v>436</v>
      </c>
      <c r="E13">
        <v>1.5</v>
      </c>
      <c r="F13">
        <v>8</v>
      </c>
      <c r="G13">
        <v>0.1</v>
      </c>
      <c r="H13">
        <v>0</v>
      </c>
      <c r="I13" t="s">
        <v>437</v>
      </c>
    </row>
    <row r="14" spans="1:9">
      <c r="A14" t="s">
        <v>438</v>
      </c>
      <c r="B14" t="s">
        <v>439</v>
      </c>
      <c r="C14">
        <v>2</v>
      </c>
      <c r="D14" t="s">
        <v>440</v>
      </c>
      <c r="E14">
        <v>0.8</v>
      </c>
      <c r="F14">
        <v>0.15</v>
      </c>
      <c r="G14">
        <v>0</v>
      </c>
      <c r="H14">
        <v>0</v>
      </c>
      <c r="I14" t="s">
        <v>441</v>
      </c>
    </row>
    <row r="15" spans="1:9">
      <c r="A15" t="s">
        <v>442</v>
      </c>
      <c r="B15" t="s">
        <v>443</v>
      </c>
      <c r="C15">
        <v>3</v>
      </c>
      <c r="D15" t="s">
        <v>440</v>
      </c>
      <c r="E15">
        <v>0.5</v>
      </c>
      <c r="F15">
        <v>0.2</v>
      </c>
      <c r="G15">
        <v>3</v>
      </c>
      <c r="H15">
        <v>0</v>
      </c>
      <c r="I15" t="s">
        <v>444</v>
      </c>
    </row>
    <row r="16" spans="1:9">
      <c r="A16" t="s">
        <v>445</v>
      </c>
      <c r="B16" t="s">
        <v>446</v>
      </c>
      <c r="C16">
        <v>3</v>
      </c>
      <c r="D16" t="s">
        <v>440</v>
      </c>
      <c r="E16">
        <v>0.6</v>
      </c>
      <c r="F16">
        <v>0.15</v>
      </c>
      <c r="G16">
        <v>3</v>
      </c>
      <c r="H16">
        <v>0</v>
      </c>
      <c r="I16" t="s">
        <v>447</v>
      </c>
    </row>
    <row r="19" spans="1:14">
      <c r="A19" t="s">
        <v>448</v>
      </c>
      <c r="B19" t="s">
        <v>30</v>
      </c>
      <c r="C19" t="s">
        <v>31</v>
      </c>
      <c r="D19" t="s">
        <v>8</v>
      </c>
    </row>
    <row r="20" spans="1:14">
      <c r="A20" t="s">
        <v>449</v>
      </c>
      <c r="B20" t="s">
        <v>450</v>
      </c>
      <c r="C20">
        <v>100</v>
      </c>
      <c r="D20" t="s">
        <v>451</v>
      </c>
    </row>
    <row r="21" spans="1:14">
      <c r="A21" t="s">
        <v>452</v>
      </c>
      <c r="B21" t="s">
        <v>453</v>
      </c>
      <c r="C21">
        <v>5</v>
      </c>
      <c r="D21" t="s">
        <v>454</v>
      </c>
    </row>
    <row r="22" spans="1:14">
      <c r="A22" t="s">
        <v>455</v>
      </c>
      <c r="B22" t="s">
        <v>456</v>
      </c>
      <c r="C22">
        <v>0.08</v>
      </c>
      <c r="D22" t="s">
        <v>457</v>
      </c>
    </row>
    <row r="23" spans="1:14">
      <c r="A23" t="s">
        <v>458</v>
      </c>
      <c r="B23" t="s">
        <v>459</v>
      </c>
      <c r="C23">
        <v>6</v>
      </c>
      <c r="D23" t="s">
        <v>460</v>
      </c>
    </row>
    <row r="24" spans="1:14">
      <c r="A24" t="s">
        <v>461</v>
      </c>
      <c r="B24" t="s">
        <v>462</v>
      </c>
      <c r="C24">
        <v>1</v>
      </c>
      <c r="D24" t="s">
        <v>43</v>
      </c>
    </row>
    <row r="25" spans="1:14">
      <c r="A25" t="s">
        <v>463</v>
      </c>
      <c r="B25" t="s">
        <v>464</v>
      </c>
      <c r="C25">
        <v>4</v>
      </c>
      <c r="D25" t="s">
        <v>465</v>
      </c>
    </row>
    <row r="26" spans="1:14">
      <c r="A26" t="s">
        <v>466</v>
      </c>
      <c r="B26" t="s">
        <v>467</v>
      </c>
      <c r="C26">
        <v>0.3</v>
      </c>
      <c r="D26" t="s">
        <v>468</v>
      </c>
    </row>
    <row r="27" spans="1:14">
      <c r="A27" t="s">
        <v>469</v>
      </c>
      <c r="B27" t="s">
        <v>470</v>
      </c>
      <c r="C27">
        <v>5</v>
      </c>
      <c r="D27" t="s">
        <v>471</v>
      </c>
    </row>
    <row r="30" spans="1:14">
      <c r="A30" t="s">
        <v>472</v>
      </c>
    </row>
    <row r="31" spans="1:14">
      <c r="A31" t="s">
        <v>313</v>
      </c>
      <c r="B31" t="s">
        <v>404</v>
      </c>
      <c r="C31" t="s">
        <v>408</v>
      </c>
      <c r="D31" t="s">
        <v>412</v>
      </c>
      <c r="E31" t="s">
        <v>415</v>
      </c>
      <c r="F31" t="s">
        <v>419</v>
      </c>
      <c r="G31" t="s">
        <v>422</v>
      </c>
      <c r="H31" t="s">
        <v>426</v>
      </c>
      <c r="I31" t="s">
        <v>430</v>
      </c>
      <c r="J31" t="s">
        <v>434</v>
      </c>
      <c r="K31" t="s">
        <v>438</v>
      </c>
      <c r="L31" t="s">
        <v>442</v>
      </c>
      <c r="M31" t="s">
        <v>445</v>
      </c>
      <c r="N31" t="s">
        <v>473</v>
      </c>
    </row>
    <row r="32" spans="1:14">
      <c r="A32">
        <v>1</v>
      </c>
      <c r="B32">
        <v>0.45</v>
      </c>
      <c r="C32">
        <v>0.35</v>
      </c>
      <c r="D32">
        <v>0.2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>
      <c r="A33">
        <v>2</v>
      </c>
      <c r="B33">
        <v>0.35</v>
      </c>
      <c r="C33">
        <v>0.15</v>
      </c>
      <c r="D33">
        <v>0</v>
      </c>
      <c r="E33">
        <v>0.2</v>
      </c>
      <c r="F33">
        <v>0.15</v>
      </c>
      <c r="G33">
        <v>0.15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0.1</v>
      </c>
    </row>
    <row r="34" spans="1:14">
      <c r="A34">
        <v>3</v>
      </c>
      <c r="B34">
        <v>0.3</v>
      </c>
      <c r="C34">
        <v>0.1</v>
      </c>
      <c r="D34">
        <v>0</v>
      </c>
      <c r="E34">
        <v>0.1</v>
      </c>
      <c r="F34">
        <v>0</v>
      </c>
      <c r="G34">
        <v>0</v>
      </c>
      <c r="H34">
        <v>0.2</v>
      </c>
      <c r="I34">
        <v>0.1</v>
      </c>
      <c r="J34">
        <v>0.2</v>
      </c>
      <c r="K34">
        <v>0</v>
      </c>
      <c r="L34">
        <v>0.5</v>
      </c>
      <c r="M34">
        <v>0.5</v>
      </c>
      <c r="N34">
        <v>0.2</v>
      </c>
    </row>
    <row r="36" spans="1:14">
      <c r="A36" t="s">
        <v>474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  <vt:lpstr>오브젝트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2026-09-28T08:53:44Z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